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nigd\Downloads\"/>
    </mc:Choice>
  </mc:AlternateContent>
  <xr:revisionPtr revIDLastSave="0" documentId="13_ncr:1_{957B0A37-EF9E-4286-AFAB-3BB88C2ED2BD}" xr6:coauthVersionLast="47" xr6:coauthVersionMax="47" xr10:uidLastSave="{00000000-0000-0000-0000-000000000000}"/>
  <bookViews>
    <workbookView xWindow="-108" yWindow="-108" windowWidth="23256" windowHeight="12456" activeTab="1" xr2:uid="{00000000-000D-0000-FFFF-FFFF00000000}"/>
  </bookViews>
  <sheets>
    <sheet name="Analysis 1" sheetId="6" r:id="rId1"/>
    <sheet name=" Dashboard 1" sheetId="9" r:id="rId2"/>
    <sheet name="Dashboard 2" sheetId="11" r:id="rId3"/>
    <sheet name="Analysis 2" sheetId="8" r:id="rId4"/>
    <sheet name="Analysis 3" sheetId="10" r:id="rId5"/>
    <sheet name="Data" sheetId="1" r:id="rId6"/>
  </sheets>
  <definedNames>
    <definedName name="_xlnm._FilterDatabase" localSheetId="5" hidden="1">Data!$J$1:$J$1000</definedName>
    <definedName name="_xlcn.WorksheetConnection_Indian_Banking_data.xlsxTable21" hidden="1">Data!$A$1:$P$501</definedName>
    <definedName name="_xlcn.WorksheetConnection_Indian_Banking_data.xlsxTable2TransactionID1" hidden="1">Data!$A$1:$A$501</definedName>
    <definedName name="_xlcn.WorksheetConnection_Sheet1AA1" hidden="1">Data!$A:$A</definedName>
    <definedName name="_xlcn.WorksheetConnection_Sheet1BB1" hidden="1">Data!$B:$B</definedName>
    <definedName name="_xlcn.WorksheetConnection_Sheet1FF1" hidden="1">Data!$F:$F</definedName>
    <definedName name="_xlcn.WorksheetConnection_Sheet1II1" hidden="1">Data!$I:$I</definedName>
    <definedName name="_xlcn.WorksheetConnection_Sheet1JJ1" hidden="1">Data!$J:$J</definedName>
    <definedName name="_xlcn.WorksheetConnection_Sheet1K2K10485761" hidden="1">Data!$K$2:$K$1048576</definedName>
    <definedName name="_xlcn.WorksheetConnection_Sheet1MM1" hidden="1">Data!$M:$M</definedName>
    <definedName name="_xlcn.WorksheetConnection_Sheet1OO1" hidden="1">Data!$O:$O</definedName>
    <definedName name="_xlcn.WorksheetConnection_Sheet1PP1" hidden="1">Data!$P:$P</definedName>
    <definedName name="Slicer_Account_Type">#N/A</definedName>
    <definedName name="Slicer_Branch_Name">#N/A</definedName>
    <definedName name="Slicer_Is_Fraud">#N/A</definedName>
    <definedName name="Slicer_Payment_Mode">#N/A</definedName>
    <definedName name="Slicer_Region">#N/A</definedName>
    <definedName name="Slicer_Transaction_Status">#N/A</definedName>
    <definedName name="Slicer_Transaction_Type">#N/A</definedName>
    <definedName name="Slicer_year_month">#N/A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10" r:id="rId16"/>
    <pivotCache cacheId="11" r:id="rId17"/>
    <pivotCache cacheId="12" r:id="rId18"/>
    <pivotCache cacheId="13" r:id="rId19"/>
    <pivotCache cacheId="20" r:id="rId20"/>
  </pivotCaches>
  <extLst>
    <ext xmlns:x14="http://schemas.microsoft.com/office/spreadsheetml/2009/9/main" uri="{876F7934-8845-4945-9796-88D515C7AA90}">
      <x14:pivotCaches>
        <pivotCache cacheId="14" r:id="rId21"/>
      </x14:pivotCaches>
    </ex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P:$P"/>
          <x15:modelTable id="Range 6" name="Range 6" connection="WorksheetConnection_Sheet1!$O:$O"/>
          <x15:modelTable id="Range 2" name="Range 2" connection="WorksheetConnection_Sheet1!$M:$M"/>
          <x15:modelTable id="Range 3" name="Range 3" connection="WorksheetConnection_Sheet1!$K$2:$K$1048576"/>
          <x15:modelTable id="Range 4" name="Range 4" connection="WorksheetConnection_Sheet1!$J:$J"/>
          <x15:modelTable id="Range 7" name="Range 7" connection="WorksheetConnection_Sheet1!$I:$I"/>
          <x15:modelTable id="Range 5" name="Range 5" connection="WorksheetConnection_Sheet1!$F:$F"/>
          <x15:modelTable id="Range 8" name="Range 8" connection="WorksheetConnection_Sheet1!$B:$B"/>
          <x15:modelTable id="Range 1" name="Range 1" connection="WorksheetConnection_Sheet1!$A:$A"/>
          <x15:modelTable id="Table2 Transaction ID" name="Table2 Transaction ID" connection="WorksheetConnection_Indian_Banking_data.xlsx!Table2[Transaction ID]"/>
          <x15:modelTable id="Table2" name="Table2" connection="WorksheetConnection_Indian_Banking_data.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0" roundtripDataChecksum="p3IYnMBNXwVyUuc2qfPNTv5QZM1FL05NUXhKkuQgu1k="/>
    </ext>
  </extLst>
</workbook>
</file>

<file path=xl/calcChain.xml><?xml version="1.0" encoding="utf-8"?>
<calcChain xmlns="http://schemas.openxmlformats.org/spreadsheetml/2006/main">
  <c r="P277" i="1" l="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17E1FB-7602-46C1-BE29-27A427600D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C2C5CA5-BB63-4A25-B3DA-6D22C00BB930}" name="WorksheetConnection_Indian_Banking_data.xlsx!Table2" type="102" refreshedVersion="8" minRefreshableVersion="5">
    <extLst>
      <ext xmlns:x15="http://schemas.microsoft.com/office/spreadsheetml/2010/11/main" uri="{DE250136-89BD-433C-8126-D09CA5730AF9}">
        <x15:connection id="Table2">
          <x15:rangePr sourceName="_xlcn.WorksheetConnection_Indian_Banking_data.xlsxTable21"/>
        </x15:connection>
      </ext>
    </extLst>
  </connection>
  <connection id="3" xr16:uid="{5461CA1A-30F4-48A5-BF7E-1765DA03691F}" name="WorksheetConnection_Indian_Banking_data.xlsx!Table2[Transaction ID]" type="102" refreshedVersion="8" minRefreshableVersion="5">
    <extLst>
      <ext xmlns:x15="http://schemas.microsoft.com/office/spreadsheetml/2010/11/main" uri="{DE250136-89BD-433C-8126-D09CA5730AF9}">
        <x15:connection id="Table2 Transaction ID" autoDelete="1">
          <x15:rangePr sourceName="_xlcn.WorksheetConnection_Indian_Banking_data.xlsxTable2TransactionID1"/>
        </x15:connection>
      </ext>
    </extLst>
  </connection>
  <connection id="4" xr16:uid="{97A5AD25-B50B-40E8-BA35-71B14DC0C9CE}" name="WorksheetConnection_Sheet1!$A:$A" type="102" refreshedVersion="8" minRefreshableVersion="5">
    <extLst>
      <ext xmlns:x15="http://schemas.microsoft.com/office/spreadsheetml/2010/11/main" uri="{DE250136-89BD-433C-8126-D09CA5730AF9}">
        <x15:connection id="Range 1" autoDelete="1">
          <x15:rangePr sourceName="_xlcn.WorksheetConnection_Sheet1AA1"/>
        </x15:connection>
      </ext>
    </extLst>
  </connection>
  <connection id="5" xr16:uid="{6A6496EC-106B-4637-9C78-C37FD4F8B2CB}" name="WorksheetConnection_Sheet1!$B:$B" type="102" refreshedVersion="8" minRefreshableVersion="5">
    <extLst>
      <ext xmlns:x15="http://schemas.microsoft.com/office/spreadsheetml/2010/11/main" uri="{DE250136-89BD-433C-8126-D09CA5730AF9}">
        <x15:connection id="Range 8" autoDelete="1">
          <x15:rangePr sourceName="_xlcn.WorksheetConnection_Sheet1BB1"/>
        </x15:connection>
      </ext>
    </extLst>
  </connection>
  <connection id="6" xr16:uid="{AC9858DB-9E17-4E87-A01F-464DC94AC96C}" name="WorksheetConnection_Sheet1!$F:$F" type="102" refreshedVersion="8" minRefreshableVersion="5">
    <extLst>
      <ext xmlns:x15="http://schemas.microsoft.com/office/spreadsheetml/2010/11/main" uri="{DE250136-89BD-433C-8126-D09CA5730AF9}">
        <x15:connection id="Range 5" autoDelete="1">
          <x15:rangePr sourceName="_xlcn.WorksheetConnection_Sheet1FF1"/>
        </x15:connection>
      </ext>
    </extLst>
  </connection>
  <connection id="7" xr16:uid="{827A60ED-4B2C-4B3A-B7EF-DC86AB614519}" name="WorksheetConnection_Sheet1!$I:$I" type="102" refreshedVersion="8" minRefreshableVersion="5">
    <extLst>
      <ext xmlns:x15="http://schemas.microsoft.com/office/spreadsheetml/2010/11/main" uri="{DE250136-89BD-433C-8126-D09CA5730AF9}">
        <x15:connection id="Range 7" autoDelete="1">
          <x15:rangePr sourceName="_xlcn.WorksheetConnection_Sheet1II1"/>
        </x15:connection>
      </ext>
    </extLst>
  </connection>
  <connection id="8" xr16:uid="{F45E27B5-CDB4-4703-B053-C96B0E6E1547}" name="WorksheetConnection_Sheet1!$J:$J" type="102" refreshedVersion="8" minRefreshableVersion="5">
    <extLst>
      <ext xmlns:x15="http://schemas.microsoft.com/office/spreadsheetml/2010/11/main" uri="{DE250136-89BD-433C-8126-D09CA5730AF9}">
        <x15:connection id="Range 4" autoDelete="1">
          <x15:rangePr sourceName="_xlcn.WorksheetConnection_Sheet1JJ1"/>
        </x15:connection>
      </ext>
    </extLst>
  </connection>
  <connection id="9" xr16:uid="{74FCA4F0-49AD-461A-B28E-14F3C0CF9BC8}" name="WorksheetConnection_Sheet1!$K$2:$K$1048576" type="102" refreshedVersion="8" minRefreshableVersion="5">
    <extLst>
      <ext xmlns:x15="http://schemas.microsoft.com/office/spreadsheetml/2010/11/main" uri="{DE250136-89BD-433C-8126-D09CA5730AF9}">
        <x15:connection id="Range 3" autoDelete="1">
          <x15:rangePr sourceName="_xlcn.WorksheetConnection_Sheet1K2K10485761"/>
        </x15:connection>
      </ext>
    </extLst>
  </connection>
  <connection id="10" xr16:uid="{5530BBD3-615E-4C40-BF8C-E554CA7E3555}" name="WorksheetConnection_Sheet1!$M:$M" type="102" refreshedVersion="8" minRefreshableVersion="5">
    <extLst>
      <ext xmlns:x15="http://schemas.microsoft.com/office/spreadsheetml/2010/11/main" uri="{DE250136-89BD-433C-8126-D09CA5730AF9}">
        <x15:connection id="Range 2" autoDelete="1">
          <x15:rangePr sourceName="_xlcn.WorksheetConnection_Sheet1MM1"/>
        </x15:connection>
      </ext>
    </extLst>
  </connection>
  <connection id="11" xr16:uid="{7FEC6575-9FB4-4E0F-A252-1A19BA2A7591}" name="WorksheetConnection_Sheet1!$O:$O" type="102" refreshedVersion="8" minRefreshableVersion="5">
    <extLst>
      <ext xmlns:x15="http://schemas.microsoft.com/office/spreadsheetml/2010/11/main" uri="{DE250136-89BD-433C-8126-D09CA5730AF9}">
        <x15:connection id="Range 6" autoDelete="1">
          <x15:rangePr sourceName="_xlcn.WorksheetConnection_Sheet1OO1"/>
        </x15:connection>
      </ext>
    </extLst>
  </connection>
  <connection id="12" xr16:uid="{0C92C92D-8104-42E3-B728-42AC7F255E9B}" name="WorksheetConnection_Sheet1!$P:$P" type="102" refreshedVersion="8" minRefreshableVersion="5">
    <extLst>
      <ext xmlns:x15="http://schemas.microsoft.com/office/spreadsheetml/2010/11/main" uri="{DE250136-89BD-433C-8126-D09CA5730AF9}">
        <x15:connection id="Range" autoDelete="1">
          <x15:rangePr sourceName="_xlcn.WorksheetConnection_Sheet1PP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<sst xmlns="http://schemas.openxmlformats.org/spreadsheetml/2006/main" count="5192" uniqueCount="1120">
  <si>
    <t>Transaction ID</t>
  </si>
  <si>
    <t>Customer ID</t>
  </si>
  <si>
    <t>Customer Name</t>
  </si>
  <si>
    <t>Account Number</t>
  </si>
  <si>
    <t>Region</t>
  </si>
  <si>
    <t>City</t>
  </si>
  <si>
    <t>Branch Name</t>
  </si>
  <si>
    <t>Account Type</t>
  </si>
  <si>
    <t>Transaction Type</t>
  </si>
  <si>
    <t>Transaction Amount</t>
  </si>
  <si>
    <t>Payment Mode</t>
  </si>
  <si>
    <t>Transaction Date</t>
  </si>
  <si>
    <t>Transaction Status</t>
  </si>
  <si>
    <t>Balance After Txn</t>
  </si>
  <si>
    <t>Is Fraud</t>
  </si>
  <si>
    <t>year_month</t>
  </si>
  <si>
    <t>c906d56a-71d8-4309-80aa-8a668e6dd338</t>
  </si>
  <si>
    <t>Indali Dhingra</t>
  </si>
  <si>
    <t>Central</t>
  </si>
  <si>
    <t>Indore</t>
  </si>
  <si>
    <t>Indore Branch</t>
  </si>
  <si>
    <t>Fixed Deposit</t>
  </si>
  <si>
    <t>Cheque</t>
  </si>
  <si>
    <t>UPI</t>
  </si>
  <si>
    <t>Completed</t>
  </si>
  <si>
    <t>No</t>
  </si>
  <si>
    <t>bdbca5a9-5d6f-4b32-8e2d-c1ec810a57b1</t>
  </si>
  <si>
    <t>Siya Kala</t>
  </si>
  <si>
    <t>East</t>
  </si>
  <si>
    <t>Guwahati</t>
  </si>
  <si>
    <t>Guwahati Branch</t>
  </si>
  <si>
    <t>Recurring Deposit</t>
  </si>
  <si>
    <t>Credit Card</t>
  </si>
  <si>
    <t>1da2b6df-97ce-4e21-8661-e764b63e2541</t>
  </si>
  <si>
    <t>Tejas Rajan</t>
  </si>
  <si>
    <t>West</t>
  </si>
  <si>
    <t>Ahmedabad</t>
  </si>
  <si>
    <t>Ahmedabad Branch</t>
  </si>
  <si>
    <t>Withdrawal</t>
  </si>
  <si>
    <t>Net Banking</t>
  </si>
  <si>
    <t>30ec4db1-c1da-4e6d-a17b-8ac3ed248b37</t>
  </si>
  <si>
    <t>Charita Oza</t>
  </si>
  <si>
    <t>Pune</t>
  </si>
  <si>
    <t>Pune Branch</t>
  </si>
  <si>
    <t>7e2c42ab-e97b-4765-84cc-7615869642b7</t>
  </si>
  <si>
    <t>Daksh Thaman</t>
  </si>
  <si>
    <t>Bhopal</t>
  </si>
  <si>
    <t>Bhopal Branch</t>
  </si>
  <si>
    <t>Deposit</t>
  </si>
  <si>
    <t>Debit Card</t>
  </si>
  <si>
    <t>Pending</t>
  </si>
  <si>
    <t>f6c20666-e23c-41bb-a870-4d16c7379d68</t>
  </si>
  <si>
    <t>Zarna Mammen</t>
  </si>
  <si>
    <t>Online Transfer</t>
  </si>
  <si>
    <t>6c238a7e-487a-419c-895f-95878bc1a52c</t>
  </si>
  <si>
    <t>Ranveer Wable</t>
  </si>
  <si>
    <t>Raipur</t>
  </si>
  <si>
    <t>Raipur Branch</t>
  </si>
  <si>
    <t>bc35e5f4-7c5e-4606-aa23-6d21f8fdc00e</t>
  </si>
  <si>
    <t>Janya Oommen</t>
  </si>
  <si>
    <t>Surat</t>
  </si>
  <si>
    <t>Surat Branch</t>
  </si>
  <si>
    <t>e6d3886e-aca3-43c0-bf91-e8d20f87eca1</t>
  </si>
  <si>
    <t>Pranav Sarraf</t>
  </si>
  <si>
    <t>North</t>
  </si>
  <si>
    <t>Amritsar</t>
  </si>
  <si>
    <t>Amritsar Branch</t>
  </si>
  <si>
    <t>Current</t>
  </si>
  <si>
    <t>e3a56d54-c6b9-40fb-affd-049c92df79ce</t>
  </si>
  <si>
    <t>Arunima Andra</t>
  </si>
  <si>
    <t>Savings</t>
  </si>
  <si>
    <t>f6d81624-e6e6-42d1-8653-88f03bbfb88b</t>
  </si>
  <si>
    <t>Anusha Parmar</t>
  </si>
  <si>
    <t>Nagpur</t>
  </si>
  <si>
    <t>Nagpur Branch</t>
  </si>
  <si>
    <t>ab65a169-4325-491e-9d38-48ef43acc5e5</t>
  </si>
  <si>
    <t>Utkarsh Narain</t>
  </si>
  <si>
    <t>d6f2d03e-286c-462e-8fbd-42ae564d7f34</t>
  </si>
  <si>
    <t>Vanya Patla</t>
  </si>
  <si>
    <t>Patna</t>
  </si>
  <si>
    <t>Patna Branch</t>
  </si>
  <si>
    <t>92093123-ee44-409d-aada-080e179fa528</t>
  </si>
  <si>
    <t>Ayush Bala</t>
  </si>
  <si>
    <t>Lucknow</t>
  </si>
  <si>
    <t>Lucknow Branch</t>
  </si>
  <si>
    <t>4f3c9aea-24f2-4065-98c8-531921030986</t>
  </si>
  <si>
    <t>Nikita Kaur</t>
  </si>
  <si>
    <t>Jabalpur</t>
  </si>
  <si>
    <t>Jabalpur Branch</t>
  </si>
  <si>
    <t>3605051e-c720-4642-8fa2-6812b5f8ad82</t>
  </si>
  <si>
    <t>Bhanumati Balakrishnan</t>
  </si>
  <si>
    <t>South</t>
  </si>
  <si>
    <t>Coimbatore</t>
  </si>
  <si>
    <t>Coimbatore Branch</t>
  </si>
  <si>
    <t>fa5483e6-631d-4a81-ad7e-80ae050dc1a1</t>
  </si>
  <si>
    <t>Anthony Dave</t>
  </si>
  <si>
    <t>31846b44-390e-4af1-a70c-c978ab1efad5</t>
  </si>
  <si>
    <t>Tanveer Kohli</t>
  </si>
  <si>
    <t>Cash</t>
  </si>
  <si>
    <t>54d3834e-67ff-43b6-8cf2-456017b143bb</t>
  </si>
  <si>
    <t>Ekani Dara</t>
  </si>
  <si>
    <t>52c824b7-1470-46e4-b351-74a77fa1c374</t>
  </si>
  <si>
    <t>Jai Tandon</t>
  </si>
  <si>
    <t>aa664390-1628-4b67-8902-862a5929cce2</t>
  </si>
  <si>
    <t>Watika Mistry</t>
  </si>
  <si>
    <t>Kochi</t>
  </si>
  <si>
    <t>Kochi Branch</t>
  </si>
  <si>
    <t>3a37175b-933c-43b8-a644-5acf3afbf2e8</t>
  </si>
  <si>
    <t>Vasatika Johal</t>
  </si>
  <si>
    <t>Chennai</t>
  </si>
  <si>
    <t>Chennai Branch</t>
  </si>
  <si>
    <t>8c0f7bfc-276c-4883-a5e5-cd788f768448</t>
  </si>
  <si>
    <t>Anya Prabhu</t>
  </si>
  <si>
    <t>Failed</t>
  </si>
  <si>
    <t>b52faf7c-e341-43b0-8e93-1e949bb276fa</t>
  </si>
  <si>
    <t>Ekapad Gole</t>
  </si>
  <si>
    <t>4d3c0228-c910-4304-998c-c69bad60908e</t>
  </si>
  <si>
    <t>Sudiksha Chawla</t>
  </si>
  <si>
    <t>e3e408df-8ab2-4af6-8e12-f09158f4b325</t>
  </si>
  <si>
    <t>Varsha Mann</t>
  </si>
  <si>
    <t>923dc3a9-fb94-4e38-994e-24d9474dce07</t>
  </si>
  <si>
    <t>Theodore Chandran</t>
  </si>
  <si>
    <t>1b018e9f-c1d9-4335-9aea-1750e89f2193</t>
  </si>
  <si>
    <t>Edhitha Bhardwaj</t>
  </si>
  <si>
    <t>078ed5ed-d1ed-4dc3-9410-a3fed11a38b4</t>
  </si>
  <si>
    <t>Chandresh Patel</t>
  </si>
  <si>
    <t>5f985d0a-9738-4a30-a647-678e37de19de</t>
  </si>
  <si>
    <t>Janani Muni</t>
  </si>
  <si>
    <t>d3b4166e-2e13-4dd4-9b20-abdcdd79aa5d</t>
  </si>
  <si>
    <t>Shivansh Prabhu</t>
  </si>
  <si>
    <t>Hyderabad</t>
  </si>
  <si>
    <t>Hyderabad Branch</t>
  </si>
  <si>
    <t>a449609b-f5b8-4e98-a9e4-452f564bf33c</t>
  </si>
  <si>
    <t>Aditya Prakash</t>
  </si>
  <si>
    <t>ff59f00c-2f39-4fe2-bab6-ba18ce7b1bb0</t>
  </si>
  <si>
    <t>Ganga Contractor</t>
  </si>
  <si>
    <t>Mumbai</t>
  </si>
  <si>
    <t>Mumbai Branch</t>
  </si>
  <si>
    <t>267b619a-961c-43b1-ade5-663db4cc27b2</t>
  </si>
  <si>
    <t>Rushil Sachdeva</t>
  </si>
  <si>
    <t>c2f4e70f-7fae-4f16-a939-f3a4c40a5cb2</t>
  </si>
  <si>
    <t>Warinder Dada</t>
  </si>
  <si>
    <t>85c907e5-eae9-4ae5-8682-7335efa57459</t>
  </si>
  <si>
    <t>Ekalinga Divan</t>
  </si>
  <si>
    <t>70e4f242-5557-4d3b-8471-dd202db5a3b7</t>
  </si>
  <si>
    <t>Aachal Acharya</t>
  </si>
  <si>
    <t>Chandigarh</t>
  </si>
  <si>
    <t>Chandigarh Branch</t>
  </si>
  <si>
    <t>3c82845a-e21e-41a0-979c-169d33c2fc80</t>
  </si>
  <si>
    <t>Meera Oza</t>
  </si>
  <si>
    <t>Kolkata</t>
  </si>
  <si>
    <t>Kolkata Branch</t>
  </si>
  <si>
    <t>71777708-738b-4a22-8924-677a5afe3d58</t>
  </si>
  <si>
    <t>Reyansh Chauhan</t>
  </si>
  <si>
    <t>62518911-3e4e-49c6-9512-1bfc06323e10</t>
  </si>
  <si>
    <t>Dayita Das</t>
  </si>
  <si>
    <t>Gwalior</t>
  </si>
  <si>
    <t>Gwalior Branch</t>
  </si>
  <si>
    <t>5f6aa3d0-def8-4718-bd70-8b4b1aa7eed5</t>
  </si>
  <si>
    <t>Anthony Comar</t>
  </si>
  <si>
    <t>cff302b1-3087-4ca9-bbb2-ae97e574f2cd</t>
  </si>
  <si>
    <t>Upkaar Goyal</t>
  </si>
  <si>
    <t>Bangalore</t>
  </si>
  <si>
    <t>Bangalore Branch</t>
  </si>
  <si>
    <t>ba36b15c-06cd-4d6e-9643-b0cfe62776ea</t>
  </si>
  <si>
    <t>Barkha Ahluwalia</t>
  </si>
  <si>
    <t>Jaipur</t>
  </si>
  <si>
    <t>Jaipur Branch</t>
  </si>
  <si>
    <t>Reversed</t>
  </si>
  <si>
    <t>fd2a9cf1-c260-474a-bb91-1081a4ad46bd</t>
  </si>
  <si>
    <t>Zehaan Wali</t>
  </si>
  <si>
    <t>23cf92b2-3035-46ac-af8d-fc4e14970d8b</t>
  </si>
  <si>
    <t>Priya Kuruvilla</t>
  </si>
  <si>
    <t>6b8da0f4-ea1d-41c6-9a2c-43b02a799d36</t>
  </si>
  <si>
    <t>Chandani Walia</t>
  </si>
  <si>
    <t>91b14ab8-1c7a-449b-9db4-478f54442982</t>
  </si>
  <si>
    <t>Jack Sridhar</t>
  </si>
  <si>
    <t>Delhi</t>
  </si>
  <si>
    <t>Delhi Branch</t>
  </si>
  <si>
    <t>Yes</t>
  </si>
  <si>
    <t>543768cb-d86a-4628-81cc-f2b1022ca354</t>
  </si>
  <si>
    <t>Advik Natt</t>
  </si>
  <si>
    <t>9cd31713-6d99-4024-a213-95792bc7f88d</t>
  </si>
  <si>
    <t>David Dhaliwal</t>
  </si>
  <si>
    <t>346ce9f0-89d8-48f1-acd1-ed4e8636f0ce</t>
  </si>
  <si>
    <t>Vritti Arora</t>
  </si>
  <si>
    <t>e01dce9a-2b7b-4d91-bd8b-8b37c23211fd</t>
  </si>
  <si>
    <t>Bahadurjit Banerjee</t>
  </si>
  <si>
    <t>c6b86e5e-fd8f-43fc-b48e-afc11df5a541</t>
  </si>
  <si>
    <t>Kamala Dhaliwal</t>
  </si>
  <si>
    <t>bc60740d-e858-4f94-9566-1eef6497bdb8</t>
  </si>
  <si>
    <t>Jagrati Bhattacharyya</t>
  </si>
  <si>
    <t>Bhubaneswar</t>
  </si>
  <si>
    <t>Bhubaneswar Branch</t>
  </si>
  <si>
    <t>cb593236-b3a6-4ed6-af6f-590bd4786b1d</t>
  </si>
  <si>
    <t>Hritik Contractor</t>
  </si>
  <si>
    <t>4d1b7980-a305-408d-b097-e6e8096ebd45</t>
  </si>
  <si>
    <t>Alka Rao</t>
  </si>
  <si>
    <t>03aa27dd-e059-4e85-8505-b961b5a45294</t>
  </si>
  <si>
    <t>Aadhya Naidu</t>
  </si>
  <si>
    <t>391bab10-2f7c-4a05-8810-20c41309d4f9</t>
  </si>
  <si>
    <t>Ekalinga Master</t>
  </si>
  <si>
    <t>18bf3d1a-0cfd-4dd0-b243-96699d7c0148</t>
  </si>
  <si>
    <t>Aishani Sachdev</t>
  </si>
  <si>
    <t>71078ce7-dec7-4fa4-8933-4eca9aedb7f9</t>
  </si>
  <si>
    <t>Gopal Jaggi</t>
  </si>
  <si>
    <t>97a68b99-8cbc-4b28-bb0b-d4ed2c428ddc</t>
  </si>
  <si>
    <t>Manbir Golla</t>
  </si>
  <si>
    <t>663e9152-5f5c-4a5b-b9ef-5393b4b73a12</t>
  </si>
  <si>
    <t>Pooja Banerjee</t>
  </si>
  <si>
    <t>de2147f0-bc82-43b9-9e86-69c024ad0663</t>
  </si>
  <si>
    <t>Unnati Seth</t>
  </si>
  <si>
    <t>fdf4b68c-5590-4498-946b-8efbdc0a31bc</t>
  </si>
  <si>
    <t>Vihaan Chowdhury</t>
  </si>
  <si>
    <t>616fcc8c-56bc-4197-91cb-4b07d92c0fb1</t>
  </si>
  <si>
    <t>Yashoda Choudhury</t>
  </si>
  <si>
    <t>Ranchi</t>
  </si>
  <si>
    <t>Ranchi Branch</t>
  </si>
  <si>
    <t>00fd40bf-bf9d-4bff-993f-60f5eee6bb03</t>
  </si>
  <si>
    <t>Rishi Desai</t>
  </si>
  <si>
    <t>e6d0967c-f9d5-4e46-9f87-d564b671d413</t>
  </si>
  <si>
    <t>Garima Ray</t>
  </si>
  <si>
    <t>b34a6f74-ae8f-47ad-924f-86556889d99d</t>
  </si>
  <si>
    <t>Mitali Nigam</t>
  </si>
  <si>
    <t>2673fe87-e626-4a87-8ad7-3a10fa06f4c3</t>
  </si>
  <si>
    <t>Rachana Bansal</t>
  </si>
  <si>
    <t>b2ade9ec-6a44-455e-9378-1cb83e5dd5a2</t>
  </si>
  <si>
    <t>Matthew Ramachandran</t>
  </si>
  <si>
    <t>5f00cf03-ed87-484c-ba6c-eaa36f50bb7b</t>
  </si>
  <si>
    <t>Leela Ramachandran</t>
  </si>
  <si>
    <t>ccbaaeb4-e933-4e31-a0fa-d19de42b0aa6</t>
  </si>
  <si>
    <t>Jonathan Taneja</t>
  </si>
  <si>
    <t>b572bae1-9ed6-4f39-8bbc-059bafa3e368</t>
  </si>
  <si>
    <t>Hema Savant</t>
  </si>
  <si>
    <t>eb06c345-27b2-43fe-8b57-74abfe097181</t>
  </si>
  <si>
    <t>Laksh Naik</t>
  </si>
  <si>
    <t>51989afa-bed1-4325-a13d-95fbac40d879</t>
  </si>
  <si>
    <t>Ati Kalita</t>
  </si>
  <si>
    <t>6b9795cc-f800-41e7-9c05-f0ac55d1061a</t>
  </si>
  <si>
    <t>Warda Jayaraman</t>
  </si>
  <si>
    <t>ddc5a8ef-f22d-4453-84cd-2c189b907453</t>
  </si>
  <si>
    <t>Mekhala Sandhu</t>
  </si>
  <si>
    <t>1e819aad-5b5f-4e14-89a1-cfe9654b06b2</t>
  </si>
  <si>
    <t>Ucchal Deep</t>
  </si>
  <si>
    <t>9b35ff7f-9cff-4443-b980-d80117014e88</t>
  </si>
  <si>
    <t>Vinaya Singhal</t>
  </si>
  <si>
    <t>e9365338-4cc1-4aed-b986-b49160163f0c</t>
  </si>
  <si>
    <t>Isaac Sandal</t>
  </si>
  <si>
    <t>cbfa73b5-c97d-44c6-93c0-1aec270e805e</t>
  </si>
  <si>
    <t>Fitan Memon</t>
  </si>
  <si>
    <t>dc13cf47-0a1a-4aec-b1f4-81d7f5dc3816</t>
  </si>
  <si>
    <t>Mason Contractor</t>
  </si>
  <si>
    <t>80b3645d-74e2-4b56-9238-b906b291f579</t>
  </si>
  <si>
    <t>Kritika Wason</t>
  </si>
  <si>
    <t>488e03e5-d1b1-4069-958d-35616f0b201c</t>
  </si>
  <si>
    <t>Aahana Chahal</t>
  </si>
  <si>
    <t>893027bb-1105-4eb6-83fb-211687351dc0</t>
  </si>
  <si>
    <t>Vansha Rai</t>
  </si>
  <si>
    <t>7c0b8276-4c0c-4323-a876-980051a56c15</t>
  </si>
  <si>
    <t>Isaac Peri</t>
  </si>
  <si>
    <t>3576e0a5-4bd8-4887-921b-e05ad460de03</t>
  </si>
  <si>
    <t>Arin Chandra</t>
  </si>
  <si>
    <t>2983f870-78b7-44b1-b120-75bb4d3e2411</t>
  </si>
  <si>
    <t>Veda Dube</t>
  </si>
  <si>
    <t>609c294f-9192-4233-a3dd-df5fa7a26ec0</t>
  </si>
  <si>
    <t>Rudra Wason</t>
  </si>
  <si>
    <t>fb83ae2e-5fcb-4fbd-a252-2989f8f6d036</t>
  </si>
  <si>
    <t>Yauvani Rama</t>
  </si>
  <si>
    <t>2044b866-4e8f-4e20-8b6f-dc20136edf14</t>
  </si>
  <si>
    <t>Vritti Sabharwal</t>
  </si>
  <si>
    <t>ded29be0-13ca-445c-9df7-ed1134aa78c0</t>
  </si>
  <si>
    <t>Widisha Singhal</t>
  </si>
  <si>
    <t>00f36763-b751-4839-a3c3-06e6ff283c20</t>
  </si>
  <si>
    <t>Jagvi Balay</t>
  </si>
  <si>
    <t>64f9d004-e4bc-450d-85f7-65141003bd81</t>
  </si>
  <si>
    <t>Jagdish Sagar</t>
  </si>
  <si>
    <t>e0dab459-92a9-4cfa-a863-c17c4c2e79d2</t>
  </si>
  <si>
    <t>Orinder Mahajan</t>
  </si>
  <si>
    <t>1eecddea-2c95-41ee-8459-c0c59f8daf8e</t>
  </si>
  <si>
    <t>Tripti Chandran</t>
  </si>
  <si>
    <t>5c1c9ae5-b0a4-42e3-8660-e1fdb1a7d6ae</t>
  </si>
  <si>
    <t>Chandani Mammen</t>
  </si>
  <si>
    <t>de78ca4d-2ed2-44cd-a28f-a94e8ffd1722</t>
  </si>
  <si>
    <t>Wakeeta Sandhu</t>
  </si>
  <si>
    <t>c029cdf7-f81a-4da7-a31e-668415613c29</t>
  </si>
  <si>
    <t>Brinda Minhas</t>
  </si>
  <si>
    <t>908aad90-85d9-47c4-bd58-9f4ea733d8fe</t>
  </si>
  <si>
    <t>Upasna Wadhwa</t>
  </si>
  <si>
    <t>21c1fdd0-3a23-4942-bfa7-af092c88e295</t>
  </si>
  <si>
    <t>Hardik Savant</t>
  </si>
  <si>
    <t>f0cb015d-3171-453b-87ba-5557fbec4e39</t>
  </si>
  <si>
    <t>Vivaan Borra</t>
  </si>
  <si>
    <t>1be9cf2d-8c81-442b-8fd0-c6507395db90</t>
  </si>
  <si>
    <t>Radha Sridhar</t>
  </si>
  <si>
    <t>18bc22b5-59e0-45cd-84ed-d27c46df4a0a</t>
  </si>
  <si>
    <t>Maya Baria</t>
  </si>
  <si>
    <t>e1013214-d963-4673-b04d-89b8cf0abd4f</t>
  </si>
  <si>
    <t>Meera Sibal</t>
  </si>
  <si>
    <t>a88964d9-7341-43b3-806e-e0533e1b41bc</t>
  </si>
  <si>
    <t>Upma Srinivasan</t>
  </si>
  <si>
    <t>e450aa83-9876-4480-ae03-b2982067eac5</t>
  </si>
  <si>
    <t>Jacob Seth</t>
  </si>
  <si>
    <t>105c1746-11cb-46a6-aa58-8f90b2a6a346</t>
  </si>
  <si>
    <t>Lajita Pau</t>
  </si>
  <si>
    <t>7bb92b24-a7c0-4b38-ad91-ee31b5edce8e</t>
  </si>
  <si>
    <t>Isaac Raval</t>
  </si>
  <si>
    <t>f7fb5b22-544f-4ced-8121-9d190905075f</t>
  </si>
  <si>
    <t>Andrew Sani</t>
  </si>
  <si>
    <t>161e1c61-7aee-44af-97d6-641bcf2a8970</t>
  </si>
  <si>
    <t>Tamanna Chandra</t>
  </si>
  <si>
    <t>f9a0a188-3a48-4cef-b2d8-d4b75fddea00</t>
  </si>
  <si>
    <t>Vyanjana Raja</t>
  </si>
  <si>
    <t>52be5da1-8c4d-4670-a08d-6b8be4ae7497</t>
  </si>
  <si>
    <t>Kevin Rege</t>
  </si>
  <si>
    <t>0f8f54ca-9fb9-4785-8647-2468a004fa45</t>
  </si>
  <si>
    <t>Krisha Mammen</t>
  </si>
  <si>
    <t>fd1d3fde-3620-4c8f-b53c-4465a0cba4f6</t>
  </si>
  <si>
    <t>Kavya Sastry</t>
  </si>
  <si>
    <t>4d3fa55a-5762-4e29-ae84-5a66cfed93bd</t>
  </si>
  <si>
    <t>Jagat Hari</t>
  </si>
  <si>
    <t>d51f9b46-f368-4a09-ab13-0c6a18f47dd5</t>
  </si>
  <si>
    <t>Amruta Keer</t>
  </si>
  <si>
    <t>543c5d3a-323f-45ef-b855-f2c77adfbea8</t>
  </si>
  <si>
    <t>Ayushman Ranganathan</t>
  </si>
  <si>
    <t>7fbe0ba5-acbe-412f-a196-c7cc139ca37a</t>
  </si>
  <si>
    <t>Nandini Salvi</t>
  </si>
  <si>
    <t>04245ce4-504e-4b0e-be15-fe6c63669b23</t>
  </si>
  <si>
    <t>Chaaya Cheema</t>
  </si>
  <si>
    <t>31772850-4dc3-45a6-999d-39e5d903c7d4</t>
  </si>
  <si>
    <t>Veer Lalla</t>
  </si>
  <si>
    <t>53280ea1-dd41-4ed1-a9fd-e99721499e1f</t>
  </si>
  <si>
    <t>Daniel Sekhon</t>
  </si>
  <si>
    <t>d88899f6-ddce-4d44-87ff-c5048e5241a4</t>
  </si>
  <si>
    <t>Ethan Gill</t>
  </si>
  <si>
    <t>e3ac2b66-dc49-453f-8c82-8d0bc9c5549a</t>
  </si>
  <si>
    <t>Chanchal Kara</t>
  </si>
  <si>
    <t>0e104293-9725-463a-bc09-87fb54940434</t>
  </si>
  <si>
    <t>Yatan Bandi</t>
  </si>
  <si>
    <t>ab932225-5685-4051-84fe-8db07734d341</t>
  </si>
  <si>
    <t>Turvi Nayak</t>
  </si>
  <si>
    <t>66703732-f532-444b-8d11-2c9a9a2263b2</t>
  </si>
  <si>
    <t>Robert Lal</t>
  </si>
  <si>
    <t>86dc1157-e9fd-4e98-b293-cadc88641d75</t>
  </si>
  <si>
    <t>Bakhshi Kunda</t>
  </si>
  <si>
    <t>fef795f4-082a-4129-81ea-8b6ec2132853</t>
  </si>
  <si>
    <t>Krishna Sarna</t>
  </si>
  <si>
    <t>80d701ba-98a7-4f51-8f3d-0737355f185e</t>
  </si>
  <si>
    <t>Ayush Zachariah</t>
  </si>
  <si>
    <t>6b7f0cf2-9089-45ed-badc-de6c072bcbc9</t>
  </si>
  <si>
    <t>Jeet Chawla</t>
  </si>
  <si>
    <t>8fa3c024-3a65-4814-9736-7a75349817f4</t>
  </si>
  <si>
    <t>Yadavi Wason</t>
  </si>
  <si>
    <t>fde8bf83-3f38-4327-b632-ce0b7418dd05</t>
  </si>
  <si>
    <t>Sanya Jaggi</t>
  </si>
  <si>
    <t>dc920ff0-4476-4233-8a68-d1b76806e11c</t>
  </si>
  <si>
    <t>Jhalak Walia</t>
  </si>
  <si>
    <t>02403cc4-f717-4702-a502-8ca1f809e7ed</t>
  </si>
  <si>
    <t>Ishaan Vaidya</t>
  </si>
  <si>
    <t>ce1ee09b-53e7-433b-8565-78b87cc2a845</t>
  </si>
  <si>
    <t>Amrita Pathak</t>
  </si>
  <si>
    <t>229a2356-98c0-4c9e-a853-4c8b1bb64a48</t>
  </si>
  <si>
    <t>George Sarraf</t>
  </si>
  <si>
    <t>e3df7035-07a3-4750-937f-b203c023b0c9</t>
  </si>
  <si>
    <t>Maanav Madan</t>
  </si>
  <si>
    <t>2c09fcbb-ad28-476d-8970-1ce53adf5133</t>
  </si>
  <si>
    <t>Pavani Sampath</t>
  </si>
  <si>
    <t>866fc4df-4f97-4dea-9576-0a0c5b3c3219</t>
  </si>
  <si>
    <t>Bimala Ratta</t>
  </si>
  <si>
    <t>749658d6-ad8b-4977-9798-875258c7e917</t>
  </si>
  <si>
    <t>Siya Sahota</t>
  </si>
  <si>
    <t>1fd55cf2-fd94-4d94-9af8-3edfb4331750</t>
  </si>
  <si>
    <t>Leena Sheth</t>
  </si>
  <si>
    <t>dc665109-864f-479e-817b-1b24c049abe3</t>
  </si>
  <si>
    <t>Advay Tripathi</t>
  </si>
  <si>
    <t>f0d6a2c6-b47b-4c4f-8704-ca522dc40164</t>
  </si>
  <si>
    <t>Nathan Kaul</t>
  </si>
  <si>
    <t>a75c3412-f4c8-4590-978c-4a96dd26a8ab</t>
  </si>
  <si>
    <t>Harini Saran</t>
  </si>
  <si>
    <t>4777f9b4-58d1-475a-90b0-145a70b15ac0</t>
  </si>
  <si>
    <t>Simon Raju</t>
  </si>
  <si>
    <t>82bd9c31-9b2b-45a9-9919-fe6ba777f73f</t>
  </si>
  <si>
    <t>Falan Ravi</t>
  </si>
  <si>
    <t>04846856-a1c8-410e-a7e5-2906406e8941</t>
  </si>
  <si>
    <t>Megha Raja</t>
  </si>
  <si>
    <t>07c96aad-61bf-4626-a9ae-0a34209494c7</t>
  </si>
  <si>
    <t>Zilmil Solanki</t>
  </si>
  <si>
    <t>d0d15529-e4f3-43a9-b304-54053e16aa01</t>
  </si>
  <si>
    <t>Pahal Shroff</t>
  </si>
  <si>
    <t>24baa7b0-5391-46ab-94ca-b5583a41af18</t>
  </si>
  <si>
    <t>Thomas Rattan</t>
  </si>
  <si>
    <t>d983e39e-6827-42f2-b347-d58adf3a80ac</t>
  </si>
  <si>
    <t>Radha Borde</t>
  </si>
  <si>
    <t>d81a0385-2d54-4be8-9e57-1f87684e76bd</t>
  </si>
  <si>
    <t>Eta Venkataraman</t>
  </si>
  <si>
    <t>8ef8c848-20b8-4493-985c-24f2b925610c</t>
  </si>
  <si>
    <t>Turvi Buch</t>
  </si>
  <si>
    <t>9a2984ac-e042-447f-ac04-e78645b18881</t>
  </si>
  <si>
    <t>Advaith Sankar</t>
  </si>
  <si>
    <t>83402b0a-4b08-4921-b79b-14d50a0be9c2</t>
  </si>
  <si>
    <t>Vrinda Nayak</t>
  </si>
  <si>
    <t>3758eba4-6ac8-417a-8063-60066c461d50</t>
  </si>
  <si>
    <t>Pallavi Bumb</t>
  </si>
  <si>
    <t>274f4733-1b44-40a1-91f5-090c42cd313a</t>
  </si>
  <si>
    <t>Unnati Dugar</t>
  </si>
  <si>
    <t>3bf12f44-d2b7-4a9f-ba2e-a394943bd67d</t>
  </si>
  <si>
    <t>Viraj Bhatia</t>
  </si>
  <si>
    <t>e20739e0-7851-438b-9d11-83e648c78598</t>
  </si>
  <si>
    <t>Mugdha Panchal</t>
  </si>
  <si>
    <t>bab859d6-2e31-4ecb-b3c0-b1d06f0b6a59</t>
  </si>
  <si>
    <t>David Bhakta</t>
  </si>
  <si>
    <t>d63db32e-5451-4226-846b-a0c0bce4885b</t>
  </si>
  <si>
    <t>Laksh Sarin</t>
  </si>
  <si>
    <t>70c6689c-c901-4564-a001-fcc948b02ee9</t>
  </si>
  <si>
    <t>Lajita Malhotra</t>
  </si>
  <si>
    <t>a82d7285-ef5a-495a-8c64-6e5926405552</t>
  </si>
  <si>
    <t>Ucchal Morar</t>
  </si>
  <si>
    <t>114778ff-a257-4de1-9b40-56e31cd83627</t>
  </si>
  <si>
    <t>Hemang Srinivasan</t>
  </si>
  <si>
    <t>025fcb06-3964-4c6a-89f8-eac44e04116e</t>
  </si>
  <si>
    <t>Unni Chander</t>
  </si>
  <si>
    <t>f2667ad3-06c6-4e44-aa86-3ae43c38838a</t>
  </si>
  <si>
    <t>Dhriti Bhatti</t>
  </si>
  <si>
    <t>80a03d5e-643f-4808-b7b1-c4cae624906d</t>
  </si>
  <si>
    <t>Arjun Oza</t>
  </si>
  <si>
    <t>f6f2f9bf-f03f-433e-ab6e-d746131bf851</t>
  </si>
  <si>
    <t>Abhiram Dua</t>
  </si>
  <si>
    <t>d7b4ca6f-776d-4e9a-bfb0-8eeb310841de</t>
  </si>
  <si>
    <t>Banjeet Mahal</t>
  </si>
  <si>
    <t>0979e55f-2627-4240-b1cb-1438376c5179</t>
  </si>
  <si>
    <t>Vasudha Nayar</t>
  </si>
  <si>
    <t>4b101ce1-b9b5-4a30-b259-9c116ce40cfe</t>
  </si>
  <si>
    <t>Daksha Dhawan</t>
  </si>
  <si>
    <t>ffeadd46-0ffa-4a8e-945f-7e44548c9dc9</t>
  </si>
  <si>
    <t>Harini Ravel</t>
  </si>
  <si>
    <t>9151f2c2-7655-411c-9fba-4133ff27b9eb</t>
  </si>
  <si>
    <t>Pranav Dave</t>
  </si>
  <si>
    <t>8d1c1aa5-6de3-487b-a94e-6b2e42444250</t>
  </si>
  <si>
    <t>Faraj Rout</t>
  </si>
  <si>
    <t>71695f06-5705-4689-bb51-16a89ccee2cc</t>
  </si>
  <si>
    <t>Luke Luthra</t>
  </si>
  <si>
    <t>ebec190b-6a64-4f0d-82d6-6ee71a4ab11d</t>
  </si>
  <si>
    <t>Urmi Patla</t>
  </si>
  <si>
    <t>b37a1d58-d951-4dd7-bee5-54879fc9a695</t>
  </si>
  <si>
    <t>Chanakya Dhar</t>
  </si>
  <si>
    <t>0072d9f5-5d55-4b21-bab4-7e9db5443b65</t>
  </si>
  <si>
    <t>Yashodhara Ganesan</t>
  </si>
  <si>
    <t>9f09da20-2fca-4436-9c05-7b04386594d9</t>
  </si>
  <si>
    <t>Ranveer Rout</t>
  </si>
  <si>
    <t>ce934bd4-15e5-494d-aa5d-a43abd4f535e</t>
  </si>
  <si>
    <t>Wakeeta Ratti</t>
  </si>
  <si>
    <t>34d56187-c08e-47ca-afda-4e8766de448f</t>
  </si>
  <si>
    <t>Abhimanyu Sama</t>
  </si>
  <si>
    <t>d3df971f-ca42-4077-86c3-475c12965f7d</t>
  </si>
  <si>
    <t>Lohit Bajwa</t>
  </si>
  <si>
    <t>038466ef-252a-47ce-a87e-71662abc1637</t>
  </si>
  <si>
    <t>Widisha Luthra</t>
  </si>
  <si>
    <t>7d8ada5d-130d-4918-b0b5-6d6ea8edabfa</t>
  </si>
  <si>
    <t>Nandini Borra</t>
  </si>
  <si>
    <t>cb0a5b22-ebde-4c29-a9d1-a7038192cfac</t>
  </si>
  <si>
    <t>Oscar Naidu</t>
  </si>
  <si>
    <t>bbe5d2c6-4408-471b-aef7-9c81c034dd8a</t>
  </si>
  <si>
    <t>Ishanvi Dixit</t>
  </si>
  <si>
    <t>0bc8b463-f65d-4856-9678-0e41337fa409</t>
  </si>
  <si>
    <t>Azaan Kota</t>
  </si>
  <si>
    <t>df7f7ea9-393c-4be3-a7da-184827e7c971</t>
  </si>
  <si>
    <t>Patrick Oommen</t>
  </si>
  <si>
    <t>ca3944e0-0434-4e15-9853-3b4d8ff76c43</t>
  </si>
  <si>
    <t>Turvi Dara</t>
  </si>
  <si>
    <t>31c391b1-54ff-4b98-b7e1-d883dfb2e8f7</t>
  </si>
  <si>
    <t>Aarnav Kant</t>
  </si>
  <si>
    <t>f8d360a4-92d3-482f-ac1e-db9b1e0c7ad6</t>
  </si>
  <si>
    <t>Madhav Shenoy</t>
  </si>
  <si>
    <t>8cdf7735-0f19-4d74-b907-b8634fcbef71</t>
  </si>
  <si>
    <t>Lohit Kurian</t>
  </si>
  <si>
    <t>cd0005e8-48e0-443c-9e75-4d0a01235d95</t>
  </si>
  <si>
    <t>Harsh Nayak</t>
  </si>
  <si>
    <t>18301c0d-a988-4a52-895c-c28e69e89c6f</t>
  </si>
  <si>
    <t>Vasana Srinivas</t>
  </si>
  <si>
    <t>b1a22d3e-dae5-4172-bb8e-234aa505726a</t>
  </si>
  <si>
    <t>Yashawini Handa</t>
  </si>
  <si>
    <t>775fe6a2-57d3-43d2-ab9c-30ac3b2dfd90</t>
  </si>
  <si>
    <t>Timothy Bhagat</t>
  </si>
  <si>
    <t>a7d27da1-6997-450b-b9f2-2ec14730e4fb</t>
  </si>
  <si>
    <t>Zinal Raju</t>
  </si>
  <si>
    <t>6ff23ad4-3477-4f63-886d-92ae7a84daa9</t>
  </si>
  <si>
    <t>Logan Hayre</t>
  </si>
  <si>
    <t>b967b17a-9a8e-4699-9e68-66173240e765</t>
  </si>
  <si>
    <t>Yutika Babu</t>
  </si>
  <si>
    <t>ec72fa74-1baf-4b0f-8dd2-057e4caf2bb9</t>
  </si>
  <si>
    <t>Xavier Varughese</t>
  </si>
  <si>
    <t>8d47240b-470c-4a5e-81e6-2881b806e112</t>
  </si>
  <si>
    <t>Elijah Sen</t>
  </si>
  <si>
    <t>de32ee5c-2963-4b68-9314-37c9510fee55</t>
  </si>
  <si>
    <t>Amrita Baria</t>
  </si>
  <si>
    <t>2e1b58e1-c7b1-4714-925e-0e2c4a339fd9</t>
  </si>
  <si>
    <t>Frederick Prabhakar</t>
  </si>
  <si>
    <t>66a00d9e-7e1e-4b78-af0a-dd80b7ca6a98</t>
  </si>
  <si>
    <t>Amara Chacko</t>
  </si>
  <si>
    <t>64c9873a-351a-4b84-b3b6-d42643bb8437</t>
  </si>
  <si>
    <t>Inaya Prabhakar</t>
  </si>
  <si>
    <t>1533567e-4d20-4132-b86f-0a37f949ebf9</t>
  </si>
  <si>
    <t>Triveni Sanghvi</t>
  </si>
  <si>
    <t>fb2a2ce1-c11d-4710-81a4-1a8984b53b93</t>
  </si>
  <si>
    <t>Jacob Char</t>
  </si>
  <si>
    <t>b9408151-3d66-4ea5-95fa-1f42eb764169</t>
  </si>
  <si>
    <t>Pooja Baral</t>
  </si>
  <si>
    <t>f4181a0c-7a83-49fd-8ddd-b24a02e1d276</t>
  </si>
  <si>
    <t>Harshil Ramaswamy</t>
  </si>
  <si>
    <t>877c8c90-7090-4c6b-a2d5-68a10b5e84e1</t>
  </si>
  <si>
    <t>Charles Devi</t>
  </si>
  <si>
    <t>815e14eb-2098-46d6-bb0d-3339ed33578a</t>
  </si>
  <si>
    <t>Hredhaan Aurora</t>
  </si>
  <si>
    <t>1128e494-1080-4a5e-828c-5aaf607929b5</t>
  </si>
  <si>
    <t>Indrajit Brar</t>
  </si>
  <si>
    <t>aabb59f2-7170-4ec0-bfce-44f002b48f29</t>
  </si>
  <si>
    <t>Eta Zacharia</t>
  </si>
  <si>
    <t>11d601f9-4b5f-488a-a640-674c9e151b0a</t>
  </si>
  <si>
    <t>Henry Ratta</t>
  </si>
  <si>
    <t>863d696a-f19f-4eb7-a47a-9e3f926b0fbf</t>
  </si>
  <si>
    <t>Upasna Dash</t>
  </si>
  <si>
    <t>7197feb1-0e7a-4187-93de-5e7697d34253</t>
  </si>
  <si>
    <t>Janani Saxena</t>
  </si>
  <si>
    <t>0d30f1d0-c566-4826-ad70-7f9f4d6e9881</t>
  </si>
  <si>
    <t>Madhavi Sama</t>
  </si>
  <si>
    <t>d724fb28-9add-4067-9cff-97797130d7e3</t>
  </si>
  <si>
    <t>Advika Sachdev</t>
  </si>
  <si>
    <t>9950064d-b87b-4f55-b0f9-02ee6066147c</t>
  </si>
  <si>
    <t>Chasmum Ganesan</t>
  </si>
  <si>
    <t>ab0e7817-6bb8-4dd9-91c6-9f559f916637</t>
  </si>
  <si>
    <t>Ayush Pai</t>
  </si>
  <si>
    <t>82979aa8-fa0e-497d-b8cd-8b19d74190b3</t>
  </si>
  <si>
    <t>Anthony Bhalla</t>
  </si>
  <si>
    <t>7310682f-d84d-4c3c-a24d-29e40a60ee5a</t>
  </si>
  <si>
    <t>Indrajit Zachariah</t>
  </si>
  <si>
    <t>ceef5660-bdb6-47d2-bfe7-407928ba0309</t>
  </si>
  <si>
    <t>Abhiram Shah</t>
  </si>
  <si>
    <t>6c504093-65a3-4d67-bc20-0a7237e53eea</t>
  </si>
  <si>
    <t>Arin Venkatesh</t>
  </si>
  <si>
    <t>68324606-5422-43fe-a453-66e17793da37</t>
  </si>
  <si>
    <t>Noah Puri</t>
  </si>
  <si>
    <t>ba67980f-f576-4933-b59a-36e560e42740</t>
  </si>
  <si>
    <t>Nilima Dutt</t>
  </si>
  <si>
    <t>c4067a04-c825-416f-9eca-54f777499c5b</t>
  </si>
  <si>
    <t>Eta Divan</t>
  </si>
  <si>
    <t>77323c98-1997-4c10-a66e-558050dc6213</t>
  </si>
  <si>
    <t>Darika Rao</t>
  </si>
  <si>
    <t>285da30d-334e-46dd-a647-627a5d6d0c1f</t>
  </si>
  <si>
    <t>Chakradhar Nanda</t>
  </si>
  <si>
    <t>85bd577f-a5ae-4860-b903-0a5576e75ce7</t>
  </si>
  <si>
    <t>Jeremiah Wason</t>
  </si>
  <si>
    <t>f70dbb59-c490-4182-903d-6c5793c03458</t>
  </si>
  <si>
    <t>Aarnav Dey</t>
  </si>
  <si>
    <t>6296fb0b-0fea-451b-b564-784f265410a6</t>
  </si>
  <si>
    <t>Kamala Karnik</t>
  </si>
  <si>
    <t>97c34e36-9e4a-49fb-8ba6-c4c6d79ea64d</t>
  </si>
  <si>
    <t>Falguni Mukhopadhyay</t>
  </si>
  <si>
    <t>301b73ed-a5ed-4932-9ff0-dd35b1a7457c</t>
  </si>
  <si>
    <t>Vincent Kara</t>
  </si>
  <si>
    <t>4b20ef1f-2692-43bf-ada8-d664d089f7fb</t>
  </si>
  <si>
    <t>Daksh Deep</t>
  </si>
  <si>
    <t>98bb8adc-733a-4d76-be0f-ab0411063ccc</t>
  </si>
  <si>
    <t>Indrajit Loke</t>
  </si>
  <si>
    <t>894cfd1a-7b61-480c-ab28-bf77784a509e</t>
  </si>
  <si>
    <t>Oni Memon</t>
  </si>
  <si>
    <t>04f69ce1-ead1-480f-b2c5-a99dc650d3b2</t>
  </si>
  <si>
    <t>Rushil Nagarajan</t>
  </si>
  <si>
    <t>85346cb4-fe6c-4c0e-a87b-dfd18517969b</t>
  </si>
  <si>
    <t>Dhriti Batta</t>
  </si>
  <si>
    <t>cd0b6f33-8ad2-4f2b-acbb-a762ea2ec9c0</t>
  </si>
  <si>
    <t>Lakshit Tella</t>
  </si>
  <si>
    <t>4f59e7a5-8175-46dc-af06-b61cd22b3606</t>
  </si>
  <si>
    <t>Simon Bava</t>
  </si>
  <si>
    <t>db684545-7495-414b-9919-1560cb2ea76c</t>
  </si>
  <si>
    <t>Timothy Mitra</t>
  </si>
  <si>
    <t>dac8a6e8-0146-43e8-9a90-8e675f9fbaa8</t>
  </si>
  <si>
    <t>Yashvi Mammen</t>
  </si>
  <si>
    <t>964ede1d-1f81-4d58-86bd-4c328f060ca3</t>
  </si>
  <si>
    <t>Qushi Comar</t>
  </si>
  <si>
    <t>79320d21-8bc4-4e00-85e0-8ce4a4ab42b4</t>
  </si>
  <si>
    <t>Ekanta Goel</t>
  </si>
  <si>
    <t>b9b81ddb-0c70-476f-be60-f67e451e0090</t>
  </si>
  <si>
    <t>Deepa Om</t>
  </si>
  <si>
    <t>491fc7cd-9009-41e2-9f2c-c5aaff219d75</t>
  </si>
  <si>
    <t>Jyoti Ravi</t>
  </si>
  <si>
    <t>03fc22d3-0e5a-4c71-aacc-4b5588d20b7b</t>
  </si>
  <si>
    <t>Ekiya Chhabra</t>
  </si>
  <si>
    <t>3e7a498c-9e3a-4b87-8680-5a5436021263</t>
  </si>
  <si>
    <t>Warhi Hayre</t>
  </si>
  <si>
    <t>107bd4a3-9d8e-43ee-a0df-31b57b65eed2</t>
  </si>
  <si>
    <t>Hemang Khare</t>
  </si>
  <si>
    <t>28fa62df-63a8-4908-b601-bffd24303acf</t>
  </si>
  <si>
    <t>Baghyawati Barad</t>
  </si>
  <si>
    <t>edbfa1b1-f134-4e41-81c4-7740805dacd9</t>
  </si>
  <si>
    <t>Jeremiah Sekhon</t>
  </si>
  <si>
    <t>8cd074cb-60ce-4449-ba5d-7751a3b9d2b3</t>
  </si>
  <si>
    <t>Andrew Ganesan</t>
  </si>
  <si>
    <t>94558069-8581-4de5-8fcc-00e3e541e452</t>
  </si>
  <si>
    <t>Teerth Thaman</t>
  </si>
  <si>
    <t>1b09dede-e649-402c-bde0-5bd7576d4ac5</t>
  </si>
  <si>
    <t>Darpan Biswas</t>
  </si>
  <si>
    <t>97cc1ed6-4e33-46b4-9967-65b70079d233</t>
  </si>
  <si>
    <t>Zayyan Naik</t>
  </si>
  <si>
    <t>ee9a24cd-a4e7-4264-9a1f-b39a49aafdd2</t>
  </si>
  <si>
    <t>Aarini Shanker</t>
  </si>
  <si>
    <t>c40c55e5-d888-4870-a6e1-bd7b2dc577b4</t>
  </si>
  <si>
    <t>Lajita Agrawal</t>
  </si>
  <si>
    <t>fed18fd2-9154-45b9-976b-730767ebcd27</t>
  </si>
  <si>
    <t>Siya Narang</t>
  </si>
  <si>
    <t>e8058d57-cc77-4809-8470-462eeb4c4014</t>
  </si>
  <si>
    <t>Lekha Jani</t>
  </si>
  <si>
    <t>f108d82f-7113-4b81-8232-01951f8e8d35</t>
  </si>
  <si>
    <t>Anvi Sarin</t>
  </si>
  <si>
    <t>85f4e337-427e-4971-b55c-109b7de85a86</t>
  </si>
  <si>
    <t>Nimrat Patel</t>
  </si>
  <si>
    <t>7d8c86d0-e566-4bff-a2ef-53a5eb2a8187</t>
  </si>
  <si>
    <t>Qushi Lanka</t>
  </si>
  <si>
    <t>614c74f4-661b-409a-afd5-caf0c779a143</t>
  </si>
  <si>
    <t>Baghyawati Sant</t>
  </si>
  <si>
    <t>ce03b15d-cb11-430c-bbf4-84d3aa6a6355</t>
  </si>
  <si>
    <t>Udarsh Yadav</t>
  </si>
  <si>
    <t>42738895-c3c1-4b52-bb44-636b1d719097</t>
  </si>
  <si>
    <t>Devansh Shanker</t>
  </si>
  <si>
    <t>c2132f8e-95c3-433d-9774-3ea3e32ccba4</t>
  </si>
  <si>
    <t>Darpan Dave</t>
  </si>
  <si>
    <t>8390a471-955f-4080-8301-aa1483fbccad</t>
  </si>
  <si>
    <t>Mugdha Bumb</t>
  </si>
  <si>
    <t>e1eb0ffd-9302-4b1b-8d09-498169aa46be</t>
  </si>
  <si>
    <t>Adweta Mitra</t>
  </si>
  <si>
    <t>eb328eff-d2bd-42e2-bb7f-7b59c49e04dc</t>
  </si>
  <si>
    <t>Inaya Chhabra</t>
  </si>
  <si>
    <t>4dcc110d-2caf-4b29-8e4a-0537e0115862</t>
  </si>
  <si>
    <t>Shaurya Swaminathan</t>
  </si>
  <si>
    <t>78ae1381-a4de-44e2-bbfb-a0e0e753d570</t>
  </si>
  <si>
    <t>Kabir Hegde</t>
  </si>
  <si>
    <t>5849f022-9ec3-413b-b772-7049df075710</t>
  </si>
  <si>
    <t>Tanvi Ahuja</t>
  </si>
  <si>
    <t>eb1a8602-868d-4bd2-996a-8f4d8fbd9943</t>
  </si>
  <si>
    <t>Alexander Nagarajan</t>
  </si>
  <si>
    <t>a1378b36-bfc8-4385-bfa3-012164ee41f1</t>
  </si>
  <si>
    <t>Veda Merchant</t>
  </si>
  <si>
    <t>f207c059-bf5c-4ce6-8b4b-ab7503bd003b</t>
  </si>
  <si>
    <t>Thomas Sidhu</t>
  </si>
  <si>
    <t>a415a509-2303-444d-9939-15847e20e63d</t>
  </si>
  <si>
    <t>Samuel Chanda</t>
  </si>
  <si>
    <t>6aac1c96-7047-4d11-b27d-44944f72e6a8</t>
  </si>
  <si>
    <t>Nidhi Jayaraman</t>
  </si>
  <si>
    <t>af063ceb-893a-4311-86f3-091a59c7647f</t>
  </si>
  <si>
    <t>Eshana Zachariah</t>
  </si>
  <si>
    <t>a905b04c-04aa-4fad-9365-6c56d92f356e</t>
  </si>
  <si>
    <t>Upma Sha</t>
  </si>
  <si>
    <t>ab07f7cf-1b90-4c14-9cbd-f87d2401eb10</t>
  </si>
  <si>
    <t>Ladli Madan</t>
  </si>
  <si>
    <t>f17acc22-46dd-4a03-a09e-66797fc864f2</t>
  </si>
  <si>
    <t>Noah Bawa</t>
  </si>
  <si>
    <t>a59c225b-8bc7-49c5-819b-5f2cd76d52a6</t>
  </si>
  <si>
    <t>Ojasvi Sani</t>
  </si>
  <si>
    <t>0ea3bd1b-a9f6-4ccd-a8e1-90b6a0cbabf8</t>
  </si>
  <si>
    <t>Pranit More</t>
  </si>
  <si>
    <t>7ac9c83a-885d-4904-8023-0c6ff75cfc85</t>
  </si>
  <si>
    <t>Netra Puri</t>
  </si>
  <si>
    <t>c6a6588e-3486-401f-8261-2cfedcf17d9b</t>
  </si>
  <si>
    <t>Anmol Bandi</t>
  </si>
  <si>
    <t>3a02fb56-d851-4da2-a7a2-e7bf539b47c1</t>
  </si>
  <si>
    <t>Kiaan Kuruvilla</t>
  </si>
  <si>
    <t>79dd9b16-3d1e-4196-98e8-42740ba73378</t>
  </si>
  <si>
    <t>Nachiket Sarna</t>
  </si>
  <si>
    <t>319c565a-17ab-4abe-ae39-658ff82398e6</t>
  </si>
  <si>
    <t>Ayushman Nadig</t>
  </si>
  <si>
    <t>8726924e-e736-4152-a600-93f25a82297a</t>
  </si>
  <si>
    <t>Thomas Sundaram</t>
  </si>
  <si>
    <t>45628100-f3f1-4308-a159-4cf27ef61300</t>
  </si>
  <si>
    <t>Gayathri Dugar</t>
  </si>
  <si>
    <t>b8269c51-66e6-41bd-981c-bd21dc71dc12</t>
  </si>
  <si>
    <t>Dhriti Chokshi</t>
  </si>
  <si>
    <t>910546a5-cc88-4186-8343-ce556acd4197</t>
  </si>
  <si>
    <t>Lohit Memon</t>
  </si>
  <si>
    <t>51161d93-6376-4992-8862-8a8f73274de8</t>
  </si>
  <si>
    <t>Baghyawati Kale</t>
  </si>
  <si>
    <t>97268ff9-634c-4609-9b5a-ce1b575d09bf</t>
  </si>
  <si>
    <t>Anya Dasgupta</t>
  </si>
  <si>
    <t>c9d0af20-d50b-46a5-b8b1-9f5a32fa9092</t>
  </si>
  <si>
    <t>Umang Dutt</t>
  </si>
  <si>
    <t>a99bd63e-5258-48d7-9ac8-0c5f02481d68</t>
  </si>
  <si>
    <t>Meghana Vasa</t>
  </si>
  <si>
    <t>0f6a1ea5-9afb-4345-b77d-e7591335d270</t>
  </si>
  <si>
    <t>Urvi Ganesan</t>
  </si>
  <si>
    <t>26ca49c6-d6d4-43b5-99b0-93d06755c7fa</t>
  </si>
  <si>
    <t>Yahvi Nori</t>
  </si>
  <si>
    <t>2c90d6f2-00fb-4e2f-b3ff-5eafcd96f7e9</t>
  </si>
  <si>
    <t>Raghav Lata</t>
  </si>
  <si>
    <t>1a0b103c-7fbf-4d11-8779-c4ed13986aa4</t>
  </si>
  <si>
    <t>Darpan Bose</t>
  </si>
  <si>
    <t>a3f93225-85c6-4a01-b210-ef59d3c352fc</t>
  </si>
  <si>
    <t>Meghana Chaudhry</t>
  </si>
  <si>
    <t>1d92b0c3-2ddc-4ae9-8dd8-8650c3a6239d</t>
  </si>
  <si>
    <t>Damini Mammen</t>
  </si>
  <si>
    <t>5217e86d-17f3-4b6d-b430-f4d08a939a4f</t>
  </si>
  <si>
    <t>Tarak Chahal</t>
  </si>
  <si>
    <t>28f163ec-8016-46b3-bbdb-fd5093ce0ee5</t>
  </si>
  <si>
    <t>Sathvik Banerjee</t>
  </si>
  <si>
    <t>69df0caf-ba2a-4b78-8d72-b6a117af3bd9</t>
  </si>
  <si>
    <t>Nakul Shan</t>
  </si>
  <si>
    <t>20712dae-f3a4-40e9-a123-c5ee6b9c4ac0</t>
  </si>
  <si>
    <t>Gaurangi Chaudhry</t>
  </si>
  <si>
    <t>780dd334-a9fb-4398-9a4e-690436194f52</t>
  </si>
  <si>
    <t>Bachittar Palla</t>
  </si>
  <si>
    <t>6247563c-a13f-4f8e-b730-72c07aff5309</t>
  </si>
  <si>
    <t>Neel Bali</t>
  </si>
  <si>
    <t>4d1cf2c4-ed9a-4802-9646-e8050cf3b564</t>
  </si>
  <si>
    <t>Advika Mall</t>
  </si>
  <si>
    <t>503bb24c-12e6-4a4a-b630-45254f982fac</t>
  </si>
  <si>
    <t>Kai Pandya</t>
  </si>
  <si>
    <t>7b2b0a33-f86e-48d5-b26f-badeb1272990</t>
  </si>
  <si>
    <t>Chatresh Issac</t>
  </si>
  <si>
    <t>8d316704-a9d8-4707-aeb6-57eae4ef9bea</t>
  </si>
  <si>
    <t>Jai Choudhry</t>
  </si>
  <si>
    <t>f9aee4b5-e22d-4fdc-b409-a10666068039</t>
  </si>
  <si>
    <t>Omya Parsa</t>
  </si>
  <si>
    <t>827bc546-1bd0-4e69-9d28-a02c8d851be8</t>
  </si>
  <si>
    <t>Aadhya Sagar</t>
  </si>
  <si>
    <t>36c7f2ab-9aea-4a1e-a1d3-7088ea4dd258</t>
  </si>
  <si>
    <t>Rachana Radhakrishnan</t>
  </si>
  <si>
    <t>b565a4f8-0c8a-496e-8ea7-7f46d05e65d0</t>
  </si>
  <si>
    <t>Abhimanyu Khalsa</t>
  </si>
  <si>
    <t>eeadc24e-4a5b-4d24-8202-a8a9a53cb2fb</t>
  </si>
  <si>
    <t>Rayaan Bhattacharyya</t>
  </si>
  <si>
    <t>71d75907-80c9-41f5-b842-003289bebe2e</t>
  </si>
  <si>
    <t>Varenya Dhaliwal</t>
  </si>
  <si>
    <t>41158a38-4f6f-4e62-8c37-7c7dcc2098ae</t>
  </si>
  <si>
    <t>Aachal Mann</t>
  </si>
  <si>
    <t>53c5db3a-442b-4188-bd5b-6030ee5a95ce</t>
  </si>
  <si>
    <t>Umang Gokhale</t>
  </si>
  <si>
    <t>d04c0b0a-5b7e-448b-a152-29d410b94690</t>
  </si>
  <si>
    <t>Amaira Shankar</t>
  </si>
  <si>
    <t>1ed4f179-4e70-4632-a1d7-13b013cae6b1</t>
  </si>
  <si>
    <t>Ishani Uppal</t>
  </si>
  <si>
    <t>412dc2b3-0f2d-4d77-aa74-fcc63a02fc36</t>
  </si>
  <si>
    <t>Vasana Dhar</t>
  </si>
  <si>
    <t>593947ec-7bdb-40f1-b950-3389b6552447</t>
  </si>
  <si>
    <t>Aradhana Parmar</t>
  </si>
  <si>
    <t>7ca06469-566e-46a0-a598-1e0ef3d4a0aa</t>
  </si>
  <si>
    <t>Divya Din</t>
  </si>
  <si>
    <t>bd06b020-2645-4ba7-b80d-47cc5dbe036a</t>
  </si>
  <si>
    <t>Charan Borra</t>
  </si>
  <si>
    <t>ddb55507-6ba0-4431-9e64-d57118df6bd9</t>
  </si>
  <si>
    <t>Rishi Lanka</t>
  </si>
  <si>
    <t>2b87a63e-fbe7-476c-8276-bd0a8c64d5e7</t>
  </si>
  <si>
    <t>Anthony Balakrishnan</t>
  </si>
  <si>
    <t>6cd4641a-f32d-45db-8c1e-e4b90449a466</t>
  </si>
  <si>
    <t>Naveen Sachdeva</t>
  </si>
  <si>
    <t>276bd213-49b5-4e12-8bdf-bd342c08e899</t>
  </si>
  <si>
    <t>Rudra Ravel</t>
  </si>
  <si>
    <t>9b510770-74b4-4885-83e8-bd821ab5c3a8</t>
  </si>
  <si>
    <t>Krish Nagy</t>
  </si>
  <si>
    <t>f94c66f0-af7b-4f7e-b93e-e9774378ec62</t>
  </si>
  <si>
    <t>Udant Pau</t>
  </si>
  <si>
    <t>c20d3c5d-cfc9-4d09-baac-a0943e64869e</t>
  </si>
  <si>
    <t>Kalpit Prabhakar</t>
  </si>
  <si>
    <t>bd8153b3-3d34-4e8f-9f6c-c4a5983f86b3</t>
  </si>
  <si>
    <t>Lakshmi Batra</t>
  </si>
  <si>
    <t>b00a0588-9356-4146-b0d4-3d5617095547</t>
  </si>
  <si>
    <t>Balhaar Suri</t>
  </si>
  <si>
    <t>7c383cbd-c9c4-4d7e-aec7-4807133a3e27</t>
  </si>
  <si>
    <t>Adweta Rastogi</t>
  </si>
  <si>
    <t>5a8f4c85-e619-4345-8349-71c834b95d95</t>
  </si>
  <si>
    <t>Gavin Sinha</t>
  </si>
  <si>
    <t>fb791d9f-1a8f-4384-a493-f4ef64fb1a21</t>
  </si>
  <si>
    <t>Tristan Bera</t>
  </si>
  <si>
    <t>689659c1-3a5e-4746-b126-ac07f00ae348</t>
  </si>
  <si>
    <t>Vasatika Bhandari</t>
  </si>
  <si>
    <t>15e3d308-d5ba-4b15-a68f-f9d8cae7cc73</t>
  </si>
  <si>
    <t>Jagvi Pillay</t>
  </si>
  <si>
    <t>84f22dec-64f7-4cda-ade6-b84c9568bf4f</t>
  </si>
  <si>
    <t>Manbir Loyal</t>
  </si>
  <si>
    <t>6339dcb1-7a32-4533-a6cd-fa735888be18</t>
  </si>
  <si>
    <t>Banjeet Kadakia</t>
  </si>
  <si>
    <t>009adf0e-3dc7-49ce-b577-e47d4fbe00ef</t>
  </si>
  <si>
    <t>Dhriti Dasgupta</t>
  </si>
  <si>
    <t>2e9baff1-8514-4428-ac60-c36c39659c21</t>
  </si>
  <si>
    <t>Balhaar Chadha</t>
  </si>
  <si>
    <t>0d221bd7-083d-451b-9e03-29d4ffa471c1</t>
  </si>
  <si>
    <t>Brinda Korpal</t>
  </si>
  <si>
    <t>31dd6dfc-8f46-4685-acf9-68d8da1d192a</t>
  </si>
  <si>
    <t>Rudra Dhar</t>
  </si>
  <si>
    <t>9191a41e-7bd2-439a-99d9-2512d4f6a1af</t>
  </si>
  <si>
    <t>Chanchal Trivedi</t>
  </si>
  <si>
    <t>bafd4013-37e5-42b5-8a28-051ed837e6ae</t>
  </si>
  <si>
    <t>Laksh Hayre</t>
  </si>
  <si>
    <t>2d70f9ea-3f64-4e90-a17b-60131f8e5dd9</t>
  </si>
  <si>
    <t>Lekha Sanghvi</t>
  </si>
  <si>
    <t>45e015e9-529a-4dbc-aa22-bd884f862cfb</t>
  </si>
  <si>
    <t>Anjali Sha</t>
  </si>
  <si>
    <t>a9cab964-9c21-4222-a97b-b819189760c8</t>
  </si>
  <si>
    <t>Pooja Dhawan</t>
  </si>
  <si>
    <t>cd8b163a-76af-4fd5-b4db-7ee8c10f2740</t>
  </si>
  <si>
    <t>Kamya Devan</t>
  </si>
  <si>
    <t>22ef1a08-9c7d-4e83-8285-1ed7d239427d</t>
  </si>
  <si>
    <t>Damyanti Sem</t>
  </si>
  <si>
    <t>fd826b0b-4f6b-4196-84fb-35e01ade296e</t>
  </si>
  <si>
    <t>Jagat Palan</t>
  </si>
  <si>
    <t>b842ae50-92ae-4023-bfd9-e63d7e2929f5</t>
  </si>
  <si>
    <t>Nathan Ramanathan</t>
  </si>
  <si>
    <t>c5b0d5c9-86df-49f6-bc07-f803d251b237</t>
  </si>
  <si>
    <t>Pranit Kota</t>
  </si>
  <si>
    <t>fa69c03c-9edd-4473-8121-27f573f16d78</t>
  </si>
  <si>
    <t>Vasatika Bali</t>
  </si>
  <si>
    <t>67de4bfc-4c7f-499e-9a31-4e8237466412</t>
  </si>
  <si>
    <t>Pranav Sastry</t>
  </si>
  <si>
    <t>df53fecd-e53d-4605-98a4-4d72ac476231</t>
  </si>
  <si>
    <t>Niharika Deo</t>
  </si>
  <si>
    <t>b3834752-78e5-4a8d-80a4-5004976b843d</t>
  </si>
  <si>
    <t>Yashvi Tiwari</t>
  </si>
  <si>
    <t>4479e679-a33e-4d38-9d8c-ee4bef857888</t>
  </si>
  <si>
    <t>Harinakshi Sarin</t>
  </si>
  <si>
    <t>82d27e6c-ca21-4345-ad95-1c2d1d8cc2b8</t>
  </si>
  <si>
    <t>Quincy Lata</t>
  </si>
  <si>
    <t>6b11103c-2794-42e9-a431-b9d2a5bc2f58</t>
  </si>
  <si>
    <t>Alexander Bhasin</t>
  </si>
  <si>
    <t>0670a0af-3684-45b5-944c-a1240ad93777</t>
  </si>
  <si>
    <t>Baghyawati Dhar</t>
  </si>
  <si>
    <t>db8a8b09-2360-4782-ad32-0bccb0c3849a</t>
  </si>
  <si>
    <t>Amaira Kumer</t>
  </si>
  <si>
    <t>46887369-ea19-4d02-9272-c1079149f484</t>
  </si>
  <si>
    <t>Widisha Sharaf</t>
  </si>
  <si>
    <t>008941c4-8a49-4825-83dd-0454dd44f0eb</t>
  </si>
  <si>
    <t>Tanveer Amble</t>
  </si>
  <si>
    <t>a49f7c15-53ca-40fa-a6d4-fd6ec24ac5a4</t>
  </si>
  <si>
    <t>Balveer Mitra</t>
  </si>
  <si>
    <t>c64fc8d9-5ddb-4bfb-9893-3df6ffba70ff</t>
  </si>
  <si>
    <t>Ekani Tandon</t>
  </si>
  <si>
    <t>2b38f268-060f-4ee7-aaed-715627975c3c</t>
  </si>
  <si>
    <t>Kavya Sharaf</t>
  </si>
  <si>
    <t>d01f2f12-3fbf-4df7-be53-ecfd417f9f81</t>
  </si>
  <si>
    <t>Anmol Uppal</t>
  </si>
  <si>
    <t>d8661fb5-0a6d-4308-ba8b-3206239f7053</t>
  </si>
  <si>
    <t>Xavier Basu</t>
  </si>
  <si>
    <t>f0854809-469d-4aa2-8877-57ce3be1ae32</t>
  </si>
  <si>
    <t>Owen Bedi</t>
  </si>
  <si>
    <t>4b910742-e1a3-445b-a49c-c35dbc224f18</t>
  </si>
  <si>
    <t>Eiravati Seshadri</t>
  </si>
  <si>
    <t>18e83ed5-fb9f-47d6-8d6f-e21a5f10c760</t>
  </si>
  <si>
    <t>Henry Nigam</t>
  </si>
  <si>
    <t>c0f7f61f-19f4-424c-8e8b-abc5cf179dee</t>
  </si>
  <si>
    <t>Hemani Dutta</t>
  </si>
  <si>
    <t>5c87a320-c89c-4674-8502-f6511e18df66</t>
  </si>
  <si>
    <t>Yasti Nayak</t>
  </si>
  <si>
    <t>ac69a0e2-05d0-4c12-986a-f858525e8ea5</t>
  </si>
  <si>
    <t>Balendra Dalal</t>
  </si>
  <si>
    <t>d45f6bc3-afa4-4393-aec4-14d5861812f6</t>
  </si>
  <si>
    <t>Lekha Karnik</t>
  </si>
  <si>
    <t>3dc46824-4258-4f52-9f0d-83fc957e1dac</t>
  </si>
  <si>
    <t>Brinda Desai</t>
  </si>
  <si>
    <t>41e87e1b-efd7-416a-80e8-0ad3fd1b51b5</t>
  </si>
  <si>
    <t>Elijah Basak</t>
  </si>
  <si>
    <t>ecc98c30-bce3-4ea5-9468-d5079d20c6ab</t>
  </si>
  <si>
    <t>Barkha Naidu</t>
  </si>
  <si>
    <t>921d94f9-6659-46af-8cf0-a625f5832354</t>
  </si>
  <si>
    <t>Yachana Mitra</t>
  </si>
  <si>
    <t>0a9ba1d9-8997-4fd8-b708-3e212e9d1bf8</t>
  </si>
  <si>
    <t>Raksha Kari</t>
  </si>
  <si>
    <t>da04b4a4-bd1a-47fc-a0c3-e49f80474726</t>
  </si>
  <si>
    <t>Ikshita Kakar</t>
  </si>
  <si>
    <t>58ba2c7d-a5c8-4c65-92cf-502984a4d920</t>
  </si>
  <si>
    <t>Gaurika Bora</t>
  </si>
  <si>
    <t>43ab919b-075d-468c-9289-c249ab26e303</t>
  </si>
  <si>
    <t>Aachal Dugar</t>
  </si>
  <si>
    <t>71fe5e20-3b03-4d71-a19c-7b01e72b2060</t>
  </si>
  <si>
    <t>Anjali Goel</t>
  </si>
  <si>
    <t>c01df7b7-8d57-49be-a6c3-da9ec76c57b9</t>
  </si>
  <si>
    <t>Fitan Sane</t>
  </si>
  <si>
    <t>45b01479-6eff-4cee-a2f9-696058ad7009</t>
  </si>
  <si>
    <t>Anusha Vora</t>
  </si>
  <si>
    <t>ffa190dc-c994-4c45-a1eb-cb209b2ebbb1</t>
  </si>
  <si>
    <t>Dayita Ramaswamy</t>
  </si>
  <si>
    <t>ba8cc2a0-72f9-4af0-a25c-10dc5fb46723</t>
  </si>
  <si>
    <t>Nitesh Dixit</t>
  </si>
  <si>
    <t>07cb6eb5-2458-481f-a7aa-f9a008ee50fd</t>
  </si>
  <si>
    <t>Urmi Mand</t>
  </si>
  <si>
    <t>83d5d145-91fd-4284-85fb-df20b2bd9cda</t>
  </si>
  <si>
    <t>Nikita Bahl</t>
  </si>
  <si>
    <t>82a3acd6-51f2-4f4f-afba-7466d0e26900</t>
  </si>
  <si>
    <t>Krishna Sangha</t>
  </si>
  <si>
    <t>6c097541-7505-4d8e-af7c-e03109afddaa</t>
  </si>
  <si>
    <t>Geetika Dewan</t>
  </si>
  <si>
    <t>b4a94ddf-a56e-40d7-9e50-dacb94568608</t>
  </si>
  <si>
    <t>Triya Tailor</t>
  </si>
  <si>
    <t>9f850170-6285-4c62-8ae0-bf705d906b8c</t>
  </si>
  <si>
    <t>Vedhika Kaur</t>
  </si>
  <si>
    <t>e5f5ef5d-f9d7-4c25-b368-522839d0d5a6</t>
  </si>
  <si>
    <t>Chanchal Sundaram</t>
  </si>
  <si>
    <t>c68b06d9-e5db-4c81-b415-199c0ce1e958</t>
  </si>
  <si>
    <t>Shivani Anne</t>
  </si>
  <si>
    <t>1beec98a-5e6d-41bd-90ce-bff81349e433</t>
  </si>
  <si>
    <t>Ucchal Char</t>
  </si>
  <si>
    <t>2f938a4a-693c-48b0-82e4-cae33ae1b44f</t>
  </si>
  <si>
    <t>Dhruv Koshy</t>
  </si>
  <si>
    <t>f824ccb4-9a6a-4f97-9580-1034366e2254</t>
  </si>
  <si>
    <t>Yatan Kumar</t>
  </si>
  <si>
    <t>92f91276-98fd-4323-9cc3-afc6807a3ebd</t>
  </si>
  <si>
    <t>Udarsh Gill</t>
  </si>
  <si>
    <t>7d162873-fca8-4ed0-9f5c-e105f362e46a</t>
  </si>
  <si>
    <t>Chanakya Bora</t>
  </si>
  <si>
    <t>5aa1aec2-a038-4355-83f0-766de52a326e</t>
  </si>
  <si>
    <t>Harinakshi Dhillon</t>
  </si>
  <si>
    <t>d35f18d6-9da9-4d7f-ac7e-5ec8d4a166b0</t>
  </si>
  <si>
    <t>Yash Dayal</t>
  </si>
  <si>
    <t>5c7282bd-5c83-47cb-b193-af980aef3d40</t>
  </si>
  <si>
    <t>Warinder Mitra</t>
  </si>
  <si>
    <t>299447f2-980a-4320-87c1-ab9507c9a31b</t>
  </si>
  <si>
    <t>Arunima Babu</t>
  </si>
  <si>
    <t>ca2ee6e5-d177-4a9b-b721-0f121c1465e3</t>
  </si>
  <si>
    <t>Hardik Kuruvilla</t>
  </si>
  <si>
    <t>a12a3df2-5748-41ab-900b-21406907274b</t>
  </si>
  <si>
    <t>Ishanvi Sandhu</t>
  </si>
  <si>
    <t>ba5a48d2-0a03-4ce2-abfe-2bb9430b4091</t>
  </si>
  <si>
    <t>Kabir Dass</t>
  </si>
  <si>
    <t>275c623b-a695-4b65-9a15-9bd3840423af</t>
  </si>
  <si>
    <t>Yoshita Sangha</t>
  </si>
  <si>
    <t>c3e92ea6-7f4d-4809-9b6b-484eb4becf16</t>
  </si>
  <si>
    <t>Aditya Pai</t>
  </si>
  <si>
    <t>efb38392-57e0-4184-993e-c125541e0ec1</t>
  </si>
  <si>
    <t>Unnati Singh</t>
  </si>
  <si>
    <t>9d35eeff-099b-46b0-bc79-ab84a4d619a1</t>
  </si>
  <si>
    <t>Radhika Sharaf</t>
  </si>
  <si>
    <t>92f1d852-4efa-4885-aaf6-807bcd973ff3</t>
  </si>
  <si>
    <t>Diya Babu</t>
  </si>
  <si>
    <t>0451a136-3810-4056-b1b4-c2231fd8d1bf</t>
  </si>
  <si>
    <t>Jyoti Bansal</t>
  </si>
  <si>
    <t>6bbd4eef-0271-42d5-ae26-5876c703d8a7</t>
  </si>
  <si>
    <t>Abeer Chandran</t>
  </si>
  <si>
    <t>9e2ffa47-be09-480b-8f00-e296267559c2</t>
  </si>
  <si>
    <t>Radha Viswanathan</t>
  </si>
  <si>
    <t>44640ef4-7388-473f-a132-c5cf461a1083</t>
  </si>
  <si>
    <t>Christopher Dhawan</t>
  </si>
  <si>
    <t>30b2b1bc-53e4-4de2-ac35-e90bd0f8a513</t>
  </si>
  <si>
    <t>Bhavani Ahluwalia</t>
  </si>
  <si>
    <t>4a508b4e-5255-4703-aa67-84374ea274fe</t>
  </si>
  <si>
    <t>Niharika Lata</t>
  </si>
  <si>
    <t>21daae4d-64ee-43d4-8ebe-e1176c58d50c</t>
  </si>
  <si>
    <t>Samuel Sama</t>
  </si>
  <si>
    <t>7dfbe37a-bdb3-4296-a581-83ac2f6e0c7f</t>
  </si>
  <si>
    <t>Samaksh Chatterjee</t>
  </si>
  <si>
    <t>dafddca5-a61e-46bd-a833-5319fb782d14</t>
  </si>
  <si>
    <t>Janaki Modi</t>
  </si>
  <si>
    <t>4d8c6406-8f65-46e9-9e65-5ac10a362dda</t>
  </si>
  <si>
    <t>Akshay Gera</t>
  </si>
  <si>
    <t>324c1fbc-8279-41eb-86c1-c52a62f0e37f</t>
  </si>
  <si>
    <t>Madhavi Rastogi</t>
  </si>
  <si>
    <t>962ec764-d6a1-4c61-bb31-b4f8886fc725</t>
  </si>
  <si>
    <t>Vyanjana Kapoor</t>
  </si>
  <si>
    <t>b68cce68-c2f3-47bf-b690-6ac34f32d961</t>
  </si>
  <si>
    <t>Mitesh Deep</t>
  </si>
  <si>
    <t>a7655a63-d6d3-4da8-afe9-3dc5dd2f31fd</t>
  </si>
  <si>
    <t>Kamya Rao</t>
  </si>
  <si>
    <t>1a4c4034-6388-40d0-b167-546b517312b8</t>
  </si>
  <si>
    <t>Megha Rau</t>
  </si>
  <si>
    <t>614c50b6-92ab-4a04-a782-8c4d424b0269</t>
  </si>
  <si>
    <t>Indrajit Rai</t>
  </si>
  <si>
    <t>a58f0802-524f-4a3f-ac24-b6a9e20dc3d2</t>
  </si>
  <si>
    <t>Charita Devan</t>
  </si>
  <si>
    <t>5810674f-451a-499e-ad42-c7f1a001e9f1</t>
  </si>
  <si>
    <t>Finn Shere</t>
  </si>
  <si>
    <t>a334f6ff-bf50-427b-843b-c8438970f3de</t>
  </si>
  <si>
    <t>Azaan Rai</t>
  </si>
  <si>
    <t>278f287f-bd53-467d-b15e-664b651afb6b</t>
  </si>
  <si>
    <t>Saumya Nayar</t>
  </si>
  <si>
    <t>dd6b57d8-c749-4cf0-844a-97e9621c3065</t>
  </si>
  <si>
    <t>Qarin Sarin</t>
  </si>
  <si>
    <t>822cfe1d-8c4e-4e82-9ca4-a4fa7a114b8b</t>
  </si>
  <si>
    <t>Theodore Chatterjee</t>
  </si>
  <si>
    <t>803f1543-4af1-46b4-87c9-c259bc66a2b4</t>
  </si>
  <si>
    <t>Vasudha Amble</t>
  </si>
  <si>
    <t>28edf12c-70c0-4170-8a96-1ac84fc06802</t>
  </si>
  <si>
    <t>Patrick Ghosh</t>
  </si>
  <si>
    <t>be8cba25-6b12-4f09-9d92-4b19f51fb456</t>
  </si>
  <si>
    <t>Dayita Choudhry</t>
  </si>
  <si>
    <t>3cee997a-53a8-4b6a-9615-9ad3b54a9bd1</t>
  </si>
  <si>
    <t>Vasudha Devan</t>
  </si>
  <si>
    <t>f9a510c1-b499-4c30-8a72-14a4ce464b75</t>
  </si>
  <si>
    <t>Aishani Vyas</t>
  </si>
  <si>
    <t>f7f95628-7c4b-43cf-9d5e-7e7953b824ae</t>
  </si>
  <si>
    <t>Madhavi Singhal</t>
  </si>
  <si>
    <t>1b8301b2-7274-406a-8194-791d8161de7a</t>
  </si>
  <si>
    <t>Ubika Nath</t>
  </si>
  <si>
    <t>c08c6094-ae34-4278-90fb-db662f456223</t>
  </si>
  <si>
    <t>Dalbir Mangal</t>
  </si>
  <si>
    <t>c2a3120c-c1d5-4bad-a056-afc547404e11</t>
  </si>
  <si>
    <t>Zaitra Mohan</t>
  </si>
  <si>
    <t>96b75d8a-2708-4526-a962-c87d5b739009</t>
  </si>
  <si>
    <t>Ishanvi Mishra</t>
  </si>
  <si>
    <t>fd5222a7-1493-463d-bf80-88e383187034</t>
  </si>
  <si>
    <t>Om Johal</t>
  </si>
  <si>
    <t>b684b3bd-57d3-4e8a-87a2-241e524ca14d</t>
  </si>
  <si>
    <t>Vasatika Suresh</t>
  </si>
  <si>
    <t>11e72490-3699-434a-bb21-38b0a3320051</t>
  </si>
  <si>
    <t>Amara Agate</t>
  </si>
  <si>
    <t>6aacfcd4-c667-4557-87e5-8fcbf54322b5</t>
  </si>
  <si>
    <t>Vedant Parmar</t>
  </si>
  <si>
    <t>2204036d-6739-42de-bdeb-4b9459aeef44</t>
  </si>
  <si>
    <t>Shivani Soman</t>
  </si>
  <si>
    <t>2573febb-0a69-42fb-96f7-f33d0bc33238</t>
  </si>
  <si>
    <t>Abeer Nigam</t>
  </si>
  <si>
    <t>776fc75a-cbb9-4415-903e-2275e1ec2e11</t>
  </si>
  <si>
    <t>Nathaniel D’Alia</t>
  </si>
  <si>
    <t>5d633d05-bbd6-483e-9ab2-d85323cbd9f5</t>
  </si>
  <si>
    <t>Rishi Sachdeva</t>
  </si>
  <si>
    <t>5c9515b7-88be-4163-91ed-0b7522fe5cbe</t>
  </si>
  <si>
    <t>Ekalinga Balasubramanian</t>
  </si>
  <si>
    <t>9e976906-2364-4658-a3db-4aa509549217</t>
  </si>
  <si>
    <t>Bhavani Sahota</t>
  </si>
  <si>
    <t>5d3fca97-da26-4ce7-a2ac-303bb77b62a6</t>
  </si>
  <si>
    <t>Oscar Sodhi</t>
  </si>
  <si>
    <t>c617e071-9666-42b1-9ff2-1d13e7eadffc</t>
  </si>
  <si>
    <t>Sanaya Hayer</t>
  </si>
  <si>
    <t>b8034076-889f-40d0-89bb-bd0ff50badd4</t>
  </si>
  <si>
    <t>Oscar Chopra</t>
  </si>
  <si>
    <t>8d82e0ff-d498-41f5-abc8-d0d51a90acaa</t>
  </si>
  <si>
    <t>Fitan Batra</t>
  </si>
  <si>
    <t>05a098d9-d5a6-4e18-a943-93cdceb70263</t>
  </si>
  <si>
    <t>Om Master</t>
  </si>
  <si>
    <t>4eeb1037-a7dd-435e-beb4-fae724bd1d5b</t>
  </si>
  <si>
    <t>Bhavya Dugal</t>
  </si>
  <si>
    <t>7bf7ebb0-3e5a-48c4-a756-177f2b07de97</t>
  </si>
  <si>
    <t>Girish Karnik</t>
  </si>
  <si>
    <t>cea65048-a10c-450b-972e-ea0a14ce51b1</t>
  </si>
  <si>
    <t>Janaki Chhabra</t>
  </si>
  <si>
    <t>5339e31f-09e6-4e7f-8ab3-078df30e1ff7</t>
  </si>
  <si>
    <t>Shaurya Modi</t>
  </si>
  <si>
    <t>5b5896b2-9985-49a2-893d-5e4f9f7e5b6c</t>
  </si>
  <si>
    <t>Vanya Bhavsar</t>
  </si>
  <si>
    <t>85e31ce3-4e7f-4658-8ebc-d7526a417289</t>
  </si>
  <si>
    <t>Isha Majumdar</t>
  </si>
  <si>
    <t>72a7fb77-95af-4050-9c7a-b64e0b631f39</t>
  </si>
  <si>
    <t>Rachana Nigam</t>
  </si>
  <si>
    <t>7bde290d-4d03-4d38-bb02-5f405e687da4</t>
  </si>
  <si>
    <t>Waida Dora</t>
  </si>
  <si>
    <t>4850650e-6338-41a7-8bf3-44412affd0ed</t>
  </si>
  <si>
    <t>Tara Shukla</t>
  </si>
  <si>
    <t>0f221632-1b39-4bc1-920f-d7a8b0a0f123</t>
  </si>
  <si>
    <t>Chaaya Varty</t>
  </si>
  <si>
    <t>5ad8161e-0e01-4e89-9f7f-51d5ae5badea</t>
  </si>
  <si>
    <t>Arjun Mangal</t>
  </si>
  <si>
    <t>57cd1a24-61ec-4d05-917c-a047cc78fbae</t>
  </si>
  <si>
    <t>Ekiya Wali</t>
  </si>
  <si>
    <t>d9060ba1-b2b9-482a-a7ab-21da16486b2e</t>
  </si>
  <si>
    <t>Aachal Aggarwal</t>
  </si>
  <si>
    <t>cf252f01-63e8-49af-83fe-fe1525ddbb8e</t>
  </si>
  <si>
    <t>Dayita Nayak</t>
  </si>
  <si>
    <t>90692010-3651-4733-a049-dec982fe35c2</t>
  </si>
  <si>
    <t>Ganga Memon</t>
  </si>
  <si>
    <t>5dbe7d28-0511-42a3-b079-b2996c8e992a</t>
  </si>
  <si>
    <t>Harini Hari</t>
  </si>
  <si>
    <t>9e7936d0-467e-4708-8f15-8abd882678c3</t>
  </si>
  <si>
    <t>Vedhika Biswas</t>
  </si>
  <si>
    <t>aa0a8cf8-db4c-4471-8792-3548bb109781</t>
  </si>
  <si>
    <t>Leena Sawhney</t>
  </si>
  <si>
    <t>880e121c-4b2a-434a-85b6-e6c9807790bc</t>
  </si>
  <si>
    <t>Aarini Rai</t>
  </si>
  <si>
    <t>a95c41fe-d268-4188-87d2-1179339422ab</t>
  </si>
  <si>
    <t>Raksha Rao</t>
  </si>
  <si>
    <t>a3320f63-8cba-4550-85b7-2aeaa7d2e0c2</t>
  </si>
  <si>
    <t>Rayaan Nori</t>
  </si>
  <si>
    <t>585d740c-f99b-4c08-a18d-17a2d80fa0aa</t>
  </si>
  <si>
    <t>Utkarsh Mall</t>
  </si>
  <si>
    <t>50d15734-32f1-40cc-b86c-5b07dd415c11</t>
  </si>
  <si>
    <t>Tejas Basu</t>
  </si>
  <si>
    <t>928c9882-695f-4333-80f2-9ef069f30ba6</t>
  </si>
  <si>
    <t>Ijaya Vig</t>
  </si>
  <si>
    <t>0c90ce32-bc89-437b-8a06-575ecca1a9f8</t>
  </si>
  <si>
    <t>Abhimanyu Ravi</t>
  </si>
  <si>
    <t>1754dc94-573b-4cfe-aa4f-8016a39caaa4</t>
  </si>
  <si>
    <t>Xiti Bhatti</t>
  </si>
  <si>
    <t>e514cd44-0315-4c8b-8e8d-185f2fdf4980</t>
  </si>
  <si>
    <t>Edhitha Deshpande</t>
  </si>
  <si>
    <t>445a9325-68cc-4fc4-8d4f-f2bd31767d12</t>
  </si>
  <si>
    <t>Jonathan Bhat</t>
  </si>
  <si>
    <t>ed2aac8e-bdab-4a38-842b-0039618f205a</t>
  </si>
  <si>
    <t>Varsha Vaidya</t>
  </si>
  <si>
    <t>506c992d-ee39-408b-a0c0-edd1e9bc4e48</t>
  </si>
  <si>
    <t>Manthan Subramaniam</t>
  </si>
  <si>
    <t>2085a2e0-3f14-4c83-8faf-381a5570a035</t>
  </si>
  <si>
    <t>Daksha Raj</t>
  </si>
  <si>
    <t>b8ca5912-ff6e-496b-972a-7c7f8e0d5062</t>
  </si>
  <si>
    <t>Advika Dua</t>
  </si>
  <si>
    <t>9893579d-fba5-43fb-85b2-b1189d6bf32a</t>
  </si>
  <si>
    <t>Daksha Kamdar</t>
  </si>
  <si>
    <t>4c2c17fb-57cc-478b-9195-74975d4a9583</t>
  </si>
  <si>
    <t>Ekalinga Bawa</t>
  </si>
  <si>
    <t>d693559f-22c7-4d70-b7d7-1a57dc0eca8e</t>
  </si>
  <si>
    <t>Tristan Brar</t>
  </si>
  <si>
    <t>Row Labels</t>
  </si>
  <si>
    <t>Grand Total</t>
  </si>
  <si>
    <t>Column Labels</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</si>
  <si>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</si>
  <si>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</si>
  <si>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</si>
  <si>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</si>
  <si>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</si>
  <si>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</si>
  <si>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</si>
  <si>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</si>
  <si>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</si>
  <si>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</si>
  <si>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</si>
  <si>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</si>
  <si>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</si>
  <si>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</si>
  <si>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</si>
  <si>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</si>
  <si>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</si>
  <si>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</si>
  <si>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</si>
  <si>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</si>
  <si>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</si>
  <si>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</si>
  <si>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</si>
  <si>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</si>
  <si>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</si>
  <si>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Count of Transaction ID</t>
  </si>
  <si>
    <t>Sum of Transaction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</si>
</sst>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scheme val="minor"/>
    </font>
    <font>
      <sz val="22"/>
      <color theme="1"/>
      <name val="Calibri"/>
      <family val="2"/>
      <scheme val="minor"/>
    </font>
    <font>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2" fillId="0" borderId="0" xfId="0" applyFont="1"/>
    <xf numFmtId="0" fontId="0" fillId="0" borderId="0" xfId="0" applyNumberFormat="1"/>
  </cellXfs>
  <cellStyles count="1">
    <cellStyle name="Normal" xfId="0" builtinId="0"/>
  </cellStyles>
  <dxfs count="4">
    <dxf>
      <numFmt numFmtId="2" formatCode="0.00"/>
    </dxf>
    <dxf>
      <numFmt numFmtId="19" formatCode="m/d/yyyy"/>
    </dxf>
    <dxf>
      <numFmt numFmtId="2" formatCode="0.00"/>
    </dxf>
    <dxf>
      <font>
        <sz val="14"/>
      </font>
    </dxf>
  </dxfs>
  <tableStyles count="2" defaultTableStyle="TableStyleMedium2" defaultPivotStyle="PivotStyleLight16">
    <tableStyle name="Slicer Style 1" pivot="0" table="0" count="2" xr9:uid="{D60165E2-BF8C-4DA0-BF20-140EAEB78E73}"/>
    <tableStyle name="Slicer Style 2" pivot="0" table="0" count="1" xr9:uid="{90479880-678C-4BE7-A8B3-2C89394091BD}">
      <tableStyleElement type="headerRow" dxfId="3"/>
    </tableStyle>
  </tableStyles>
  <extLst>
    <ext xmlns:x14="http://schemas.microsoft.com/office/spreadsheetml/2009/9/main" uri="{46F421CA-312F-682f-3DD2-61675219B42D}">
      <x14:dxfs count="2">
        <dxf>
          <font>
            <sz val="14"/>
          </font>
        </dxf>
        <dxf>
          <font>
            <b/>
            <i val="0"/>
            <sz val="16"/>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5.xml"/><Relationship Id="rId39" Type="http://schemas.openxmlformats.org/officeDocument/2006/relationships/powerPivotData" Target="model/item.data"/><Relationship Id="rId21" Type="http://schemas.openxmlformats.org/officeDocument/2006/relationships/pivotCacheDefinition" Target="pivotCache/pivotCacheDefinition15.xml"/><Relationship Id="rId34" Type="http://schemas.openxmlformats.org/officeDocument/2006/relationships/sharedStrings" Target="sharedString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4.xml"/><Relationship Id="rId33" Type="http://schemas.openxmlformats.org/officeDocument/2006/relationships/styles" Target="styles.xml"/><Relationship Id="rId38"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3.xml"/><Relationship Id="rId32" Type="http://schemas.openxmlformats.org/officeDocument/2006/relationships/connections" Target="connections.xml"/><Relationship Id="rId37" Type="http://schemas.microsoft.com/office/2017/06/relationships/rdRichValueStructure" Target="richData/rdrichvaluestructure.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microsoft.com/office/2007/relationships/slicerCache" Target="slicerCaches/slicerCache7.xml"/><Relationship Id="rId36" Type="http://schemas.microsoft.com/office/2017/06/relationships/rdRichValue" Target="richData/rdrichvalue.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microsoft.com/office/2007/relationships/slicerCache" Target="slicerCaches/slicerCache6.xml"/><Relationship Id="rId30" Type="http://customschemas.google.com/relationships/workbookmetadata" Target="metadata"/><Relationship Id="rId35" Type="http://schemas.openxmlformats.org/officeDocument/2006/relationships/sheetMetadata" Target="metadata.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1!PivotTable3</c:name>
    <c:fmtId val="2"/>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1'!$C$7</c:f>
              <c:strCache>
                <c:ptCount val="1"/>
                <c:pt idx="0">
                  <c:v>Total</c:v>
                </c:pt>
              </c:strCache>
            </c:strRef>
          </c:tx>
          <c:spPr>
            <a:solidFill>
              <a:schemeClr val="accent1"/>
            </a:solidFill>
            <a:ln>
              <a:noFill/>
            </a:ln>
            <a:effectLst/>
          </c:spPr>
          <c:invertIfNegative val="0"/>
          <c:cat>
            <c:strRef>
              <c:f>'Analysis 1'!$B$8:$B$13</c:f>
              <c:strCache>
                <c:ptCount val="5"/>
                <c:pt idx="0">
                  <c:v>Central</c:v>
                </c:pt>
                <c:pt idx="1">
                  <c:v>East</c:v>
                </c:pt>
                <c:pt idx="2">
                  <c:v>North</c:v>
                </c:pt>
                <c:pt idx="3">
                  <c:v>South</c:v>
                </c:pt>
                <c:pt idx="4">
                  <c:v>West</c:v>
                </c:pt>
              </c:strCache>
            </c:strRef>
          </c:cat>
          <c:val>
            <c:numRef>
              <c:f>'Analysis 1'!$C$8:$C$13</c:f>
              <c:numCache>
                <c:formatCode>General</c:formatCode>
                <c:ptCount val="5"/>
                <c:pt idx="0">
                  <c:v>19774365.059999999</c:v>
                </c:pt>
                <c:pt idx="1">
                  <c:v>16933362.09</c:v>
                </c:pt>
                <c:pt idx="2">
                  <c:v>20674590.48</c:v>
                </c:pt>
                <c:pt idx="3">
                  <c:v>16959477.98</c:v>
                </c:pt>
                <c:pt idx="4">
                  <c:v>19591984.879999999</c:v>
                </c:pt>
              </c:numCache>
            </c:numRef>
          </c:val>
          <c:extLst>
            <c:ext xmlns:c16="http://schemas.microsoft.com/office/drawing/2014/chart" uri="{C3380CC4-5D6E-409C-BE32-E72D297353CC}">
              <c16:uniqueId val="{00000002-5107-4794-837A-65457EA81D58}"/>
            </c:ext>
          </c:extLst>
        </c:ser>
        <c:dLbls>
          <c:showLegendKey val="0"/>
          <c:showVal val="0"/>
          <c:showCatName val="0"/>
          <c:showSerName val="0"/>
          <c:showPercent val="0"/>
          <c:showBubbleSize val="0"/>
        </c:dLbls>
        <c:gapWidth val="182"/>
        <c:axId val="1351488976"/>
        <c:axId val="1210830704"/>
      </c:barChart>
      <c:catAx>
        <c:axId val="1351488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10830704"/>
        <c:crosses val="autoZero"/>
        <c:auto val="1"/>
        <c:lblAlgn val="ctr"/>
        <c:lblOffset val="100"/>
        <c:noMultiLvlLbl val="0"/>
      </c:catAx>
      <c:valAx>
        <c:axId val="121083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148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1!PivotTable4</c:name>
    <c:fmtId val="2"/>
  </c:pivotSource>
  <c:chart>
    <c:title>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69687802972602"/>
          <c:y val="0.17952835540604795"/>
          <c:w val="0.69111229322551382"/>
          <c:h val="0.68904195525519063"/>
        </c:manualLayout>
      </c:layout>
      <c:barChart>
        <c:barDir val="col"/>
        <c:grouping val="clustered"/>
        <c:varyColors val="0"/>
        <c:ser>
          <c:idx val="0"/>
          <c:order val="0"/>
          <c:tx>
            <c:strRef>
              <c:f>'Analysis 1'!$F$8</c:f>
              <c:strCache>
                <c:ptCount val="1"/>
                <c:pt idx="0">
                  <c:v>Total</c:v>
                </c:pt>
              </c:strCache>
            </c:strRef>
          </c:tx>
          <c:spPr>
            <a:solidFill>
              <a:srgbClr val="FF0000"/>
            </a:solidFill>
            <a:ln>
              <a:noFill/>
            </a:ln>
            <a:effectLst/>
          </c:spPr>
          <c:invertIfNegative val="0"/>
          <c:cat>
            <c:strRef>
              <c:f>'Analysis 1'!$E$9:$E$14</c:f>
              <c:strCache>
                <c:ptCount val="5"/>
                <c:pt idx="0">
                  <c:v>North</c:v>
                </c:pt>
                <c:pt idx="1">
                  <c:v>Central</c:v>
                </c:pt>
                <c:pt idx="2">
                  <c:v>West</c:v>
                </c:pt>
                <c:pt idx="3">
                  <c:v>South</c:v>
                </c:pt>
                <c:pt idx="4">
                  <c:v>East</c:v>
                </c:pt>
              </c:strCache>
            </c:strRef>
          </c:cat>
          <c:val>
            <c:numRef>
              <c:f>'Analysis 1'!$F$9:$F$14</c:f>
              <c:numCache>
                <c:formatCode>General</c:formatCode>
                <c:ptCount val="5"/>
                <c:pt idx="0">
                  <c:v>20674590.48</c:v>
                </c:pt>
                <c:pt idx="1">
                  <c:v>19774365.059999999</c:v>
                </c:pt>
                <c:pt idx="2">
                  <c:v>19591984.879999999</c:v>
                </c:pt>
                <c:pt idx="3">
                  <c:v>16959477.98</c:v>
                </c:pt>
                <c:pt idx="4">
                  <c:v>16933362.09</c:v>
                </c:pt>
              </c:numCache>
            </c:numRef>
          </c:val>
          <c:extLst>
            <c:ext xmlns:c16="http://schemas.microsoft.com/office/drawing/2014/chart" uri="{C3380CC4-5D6E-409C-BE32-E72D297353CC}">
              <c16:uniqueId val="{00000000-B853-40F5-A4D5-335572F8D727}"/>
            </c:ext>
          </c:extLst>
        </c:ser>
        <c:dLbls>
          <c:showLegendKey val="0"/>
          <c:showVal val="0"/>
          <c:showCatName val="0"/>
          <c:showSerName val="0"/>
          <c:showPercent val="0"/>
          <c:showBubbleSize val="0"/>
        </c:dLbls>
        <c:gapWidth val="219"/>
        <c:overlap val="-27"/>
        <c:axId val="2004664960"/>
        <c:axId val="1210875344"/>
      </c:barChart>
      <c:catAx>
        <c:axId val="200466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210875344"/>
        <c:crosses val="autoZero"/>
        <c:auto val="1"/>
        <c:lblAlgn val="ctr"/>
        <c:lblOffset val="100"/>
        <c:noMultiLvlLbl val="0"/>
      </c:catAx>
      <c:valAx>
        <c:axId val="121087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200466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1!PivotTable5</c:name>
    <c:fmtId val="2"/>
  </c:pivotSource>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1'!$I$8</c:f>
              <c:strCache>
                <c:ptCount val="1"/>
                <c:pt idx="0">
                  <c:v>Total</c:v>
                </c:pt>
              </c:strCache>
            </c:strRef>
          </c:tx>
          <c:spPr>
            <a:ln w="28575" cap="rnd">
              <a:solidFill>
                <a:schemeClr val="accent1"/>
              </a:solidFill>
              <a:round/>
            </a:ln>
            <a:effectLst/>
          </c:spPr>
          <c:marker>
            <c:symbol val="none"/>
          </c:marker>
          <c:cat>
            <c:strRef>
              <c:f>'Analysis 1'!$H$9:$H$34</c:f>
              <c:strCache>
                <c:ptCount val="25"/>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strCache>
            </c:strRef>
          </c:cat>
          <c:val>
            <c:numRef>
              <c:f>'Analysis 1'!$I$9:$I$34</c:f>
              <c:numCache>
                <c:formatCode>General</c:formatCode>
                <c:ptCount val="25"/>
                <c:pt idx="0">
                  <c:v>3137512.47</c:v>
                </c:pt>
                <c:pt idx="1">
                  <c:v>3403390.94</c:v>
                </c:pt>
                <c:pt idx="2">
                  <c:v>2950859.77</c:v>
                </c:pt>
                <c:pt idx="3">
                  <c:v>2535234.34</c:v>
                </c:pt>
                <c:pt idx="4">
                  <c:v>5597162.9699999997</c:v>
                </c:pt>
                <c:pt idx="5">
                  <c:v>4275298.4800000004</c:v>
                </c:pt>
                <c:pt idx="6">
                  <c:v>3041168.71</c:v>
                </c:pt>
                <c:pt idx="7">
                  <c:v>3735204.03</c:v>
                </c:pt>
                <c:pt idx="8">
                  <c:v>3559901.37</c:v>
                </c:pt>
                <c:pt idx="9">
                  <c:v>3777985.44</c:v>
                </c:pt>
                <c:pt idx="10">
                  <c:v>4783038.3899999997</c:v>
                </c:pt>
                <c:pt idx="11">
                  <c:v>3985169.21</c:v>
                </c:pt>
                <c:pt idx="12">
                  <c:v>3869242.4</c:v>
                </c:pt>
                <c:pt idx="13">
                  <c:v>4487928.28</c:v>
                </c:pt>
                <c:pt idx="14">
                  <c:v>3356769.27</c:v>
                </c:pt>
                <c:pt idx="15">
                  <c:v>6861898.5999999996</c:v>
                </c:pt>
                <c:pt idx="16">
                  <c:v>4162181.42</c:v>
                </c:pt>
                <c:pt idx="17">
                  <c:v>3244997.73</c:v>
                </c:pt>
                <c:pt idx="18">
                  <c:v>3771850.06</c:v>
                </c:pt>
                <c:pt idx="19">
                  <c:v>4593068.6100000003</c:v>
                </c:pt>
                <c:pt idx="20">
                  <c:v>3786531.11</c:v>
                </c:pt>
                <c:pt idx="21">
                  <c:v>4072523.3</c:v>
                </c:pt>
                <c:pt idx="22">
                  <c:v>3360598.67</c:v>
                </c:pt>
                <c:pt idx="23">
                  <c:v>2991026.67</c:v>
                </c:pt>
                <c:pt idx="24">
                  <c:v>593238.25</c:v>
                </c:pt>
              </c:numCache>
            </c:numRef>
          </c:val>
          <c:smooth val="0"/>
          <c:extLst>
            <c:ext xmlns:c16="http://schemas.microsoft.com/office/drawing/2014/chart" uri="{C3380CC4-5D6E-409C-BE32-E72D297353CC}">
              <c16:uniqueId val="{00000000-13F2-4BDA-B29B-1DFE62DA00B3}"/>
            </c:ext>
          </c:extLst>
        </c:ser>
        <c:dLbls>
          <c:showLegendKey val="0"/>
          <c:showVal val="0"/>
          <c:showCatName val="0"/>
          <c:showSerName val="0"/>
          <c:showPercent val="0"/>
          <c:showBubbleSize val="0"/>
        </c:dLbls>
        <c:smooth val="0"/>
        <c:axId val="1164329056"/>
        <c:axId val="1210834544"/>
      </c:lineChart>
      <c:catAx>
        <c:axId val="11643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10834544"/>
        <c:crosses val="autoZero"/>
        <c:auto val="1"/>
        <c:lblAlgn val="ctr"/>
        <c:lblOffset val="100"/>
        <c:noMultiLvlLbl val="0"/>
      </c:catAx>
      <c:valAx>
        <c:axId val="121083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16432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1!PivotTable6</c:name>
    <c:fmtId val="3"/>
  </c:pivotSource>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1'!$L$10</c:f>
              <c:strCache>
                <c:ptCount val="1"/>
                <c:pt idx="0">
                  <c:v>Total</c:v>
                </c:pt>
              </c:strCache>
            </c:strRef>
          </c:tx>
          <c:spPr>
            <a:solidFill>
              <a:schemeClr val="accent1"/>
            </a:solidFill>
            <a:ln>
              <a:noFill/>
            </a:ln>
            <a:effectLst/>
          </c:spPr>
          <c:invertIfNegative val="0"/>
          <c:cat>
            <c:strRef>
              <c:f>'Analysis 1'!$K$11:$K$36</c:f>
              <c:strCache>
                <c:ptCount val="25"/>
                <c:pt idx="0">
                  <c:v>Ahmedabad Branch</c:v>
                </c:pt>
                <c:pt idx="1">
                  <c:v>Amritsar Branch</c:v>
                </c:pt>
                <c:pt idx="2">
                  <c:v>Bhopal Branch</c:v>
                </c:pt>
                <c:pt idx="3">
                  <c:v>Bhubaneswar Branch</c:v>
                </c:pt>
                <c:pt idx="4">
                  <c:v>Chennai Branch</c:v>
                </c:pt>
                <c:pt idx="5">
                  <c:v>Bangalore Branch</c:v>
                </c:pt>
                <c:pt idx="6">
                  <c:v>Chandigarh Branch</c:v>
                </c:pt>
                <c:pt idx="7">
                  <c:v>Delhi Branch</c:v>
                </c:pt>
                <c:pt idx="8">
                  <c:v>Guwahati Branch</c:v>
                </c:pt>
                <c:pt idx="9">
                  <c:v>Coimbatore Branch</c:v>
                </c:pt>
                <c:pt idx="10">
                  <c:v>Indore Branch</c:v>
                </c:pt>
                <c:pt idx="11">
                  <c:v>Gwalior Branch</c:v>
                </c:pt>
                <c:pt idx="12">
                  <c:v>Hyderabad Branch</c:v>
                </c:pt>
                <c:pt idx="13">
                  <c:v>Jaipur Branch</c:v>
                </c:pt>
                <c:pt idx="14">
                  <c:v>Jabalpur Branch</c:v>
                </c:pt>
                <c:pt idx="15">
                  <c:v>Lucknow Branch</c:v>
                </c:pt>
                <c:pt idx="16">
                  <c:v>Kolkata Branch</c:v>
                </c:pt>
                <c:pt idx="17">
                  <c:v>Kochi Branch</c:v>
                </c:pt>
                <c:pt idx="18">
                  <c:v>Nagpur Branch</c:v>
                </c:pt>
                <c:pt idx="19">
                  <c:v>Mumbai Branch</c:v>
                </c:pt>
                <c:pt idx="20">
                  <c:v>Patna Branch</c:v>
                </c:pt>
                <c:pt idx="21">
                  <c:v>Pune Branch</c:v>
                </c:pt>
                <c:pt idx="22">
                  <c:v>Raipur Branch</c:v>
                </c:pt>
                <c:pt idx="23">
                  <c:v>Ranchi Branch</c:v>
                </c:pt>
                <c:pt idx="24">
                  <c:v>Surat Branch</c:v>
                </c:pt>
              </c:strCache>
            </c:strRef>
          </c:cat>
          <c:val>
            <c:numRef>
              <c:f>'Analysis 1'!$L$11:$L$36</c:f>
              <c:numCache>
                <c:formatCode>General</c:formatCode>
                <c:ptCount val="25"/>
                <c:pt idx="0">
                  <c:v>13811868.27</c:v>
                </c:pt>
                <c:pt idx="1">
                  <c:v>9090104.2599999998</c:v>
                </c:pt>
                <c:pt idx="2">
                  <c:v>7379250.5599999996</c:v>
                </c:pt>
                <c:pt idx="3">
                  <c:v>7164908.1299999999</c:v>
                </c:pt>
                <c:pt idx="4">
                  <c:v>7017901.6799999997</c:v>
                </c:pt>
                <c:pt idx="5">
                  <c:v>6969553.3499999996</c:v>
                </c:pt>
                <c:pt idx="6">
                  <c:v>6406381.4800000004</c:v>
                </c:pt>
                <c:pt idx="7">
                  <c:v>4519710.03</c:v>
                </c:pt>
                <c:pt idx="8">
                  <c:v>4110064.64</c:v>
                </c:pt>
                <c:pt idx="9">
                  <c:v>3824563.02</c:v>
                </c:pt>
                <c:pt idx="10">
                  <c:v>3738820.24</c:v>
                </c:pt>
                <c:pt idx="11">
                  <c:v>3152515.58</c:v>
                </c:pt>
                <c:pt idx="12">
                  <c:v>2831808.68</c:v>
                </c:pt>
                <c:pt idx="13">
                  <c:v>2463738.3199999998</c:v>
                </c:pt>
                <c:pt idx="14">
                  <c:v>1964329.21</c:v>
                </c:pt>
                <c:pt idx="15">
                  <c:v>1847977.33</c:v>
                </c:pt>
                <c:pt idx="16">
                  <c:v>1722637.4</c:v>
                </c:pt>
                <c:pt idx="17">
                  <c:v>1614280.62</c:v>
                </c:pt>
                <c:pt idx="18">
                  <c:v>1288924.78</c:v>
                </c:pt>
                <c:pt idx="19">
                  <c:v>850974.2</c:v>
                </c:pt>
                <c:pt idx="20">
                  <c:v>783359.94</c:v>
                </c:pt>
                <c:pt idx="21">
                  <c:v>670621.68000000005</c:v>
                </c:pt>
                <c:pt idx="22">
                  <c:v>359987.95</c:v>
                </c:pt>
                <c:pt idx="23">
                  <c:v>214509.87</c:v>
                </c:pt>
                <c:pt idx="24">
                  <c:v>134989.26999999999</c:v>
                </c:pt>
              </c:numCache>
            </c:numRef>
          </c:val>
          <c:extLst>
            <c:ext xmlns:c16="http://schemas.microsoft.com/office/drawing/2014/chart" uri="{C3380CC4-5D6E-409C-BE32-E72D297353CC}">
              <c16:uniqueId val="{00000000-B050-49CB-8333-8CC20F1CF65C}"/>
            </c:ext>
          </c:extLst>
        </c:ser>
        <c:dLbls>
          <c:showLegendKey val="0"/>
          <c:showVal val="0"/>
          <c:showCatName val="0"/>
          <c:showSerName val="0"/>
          <c:showPercent val="0"/>
          <c:showBubbleSize val="0"/>
        </c:dLbls>
        <c:gapWidth val="182"/>
        <c:axId val="2012178960"/>
        <c:axId val="1210897424"/>
      </c:barChart>
      <c:catAx>
        <c:axId val="201217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10897424"/>
        <c:crosses val="autoZero"/>
        <c:auto val="1"/>
        <c:lblAlgn val="ctr"/>
        <c:lblOffset val="100"/>
        <c:noMultiLvlLbl val="0"/>
      </c:catAx>
      <c:valAx>
        <c:axId val="1210897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121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5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1!PivotTable7</c:name>
    <c:fmtId val="3"/>
  </c:pivotSource>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1'!$C$22</c:f>
              <c:strCache>
                <c:ptCount val="1"/>
                <c:pt idx="0">
                  <c:v>Total</c:v>
                </c:pt>
              </c:strCache>
            </c:strRef>
          </c:tx>
          <c:spPr>
            <a:solidFill>
              <a:schemeClr val="accent2">
                <a:lumMod val="75000"/>
              </a:schemeClr>
            </a:solidFill>
            <a:ln>
              <a:noFill/>
            </a:ln>
            <a:effectLst/>
          </c:spPr>
          <c:invertIfNegative val="0"/>
          <c:cat>
            <c:strRef>
              <c:f>'Analysis 1'!$B$23:$B$27</c:f>
              <c:strCache>
                <c:ptCount val="4"/>
                <c:pt idx="0">
                  <c:v>Online Transfer</c:v>
                </c:pt>
                <c:pt idx="1">
                  <c:v>Deposit</c:v>
                </c:pt>
                <c:pt idx="2">
                  <c:v>Withdrawal</c:v>
                </c:pt>
                <c:pt idx="3">
                  <c:v>Cheque</c:v>
                </c:pt>
              </c:strCache>
            </c:strRef>
          </c:cat>
          <c:val>
            <c:numRef>
              <c:f>'Analysis 1'!$C$23:$C$27</c:f>
              <c:numCache>
                <c:formatCode>General</c:formatCode>
                <c:ptCount val="4"/>
                <c:pt idx="0">
                  <c:v>26390312.010000002</c:v>
                </c:pt>
                <c:pt idx="1">
                  <c:v>25605430.100000001</c:v>
                </c:pt>
                <c:pt idx="2">
                  <c:v>21080215.25</c:v>
                </c:pt>
                <c:pt idx="3">
                  <c:v>20857823.129999999</c:v>
                </c:pt>
              </c:numCache>
            </c:numRef>
          </c:val>
          <c:extLst>
            <c:ext xmlns:c16="http://schemas.microsoft.com/office/drawing/2014/chart" uri="{C3380CC4-5D6E-409C-BE32-E72D297353CC}">
              <c16:uniqueId val="{00000000-8BF5-4B78-8F04-167C4CCF8287}"/>
            </c:ext>
          </c:extLst>
        </c:ser>
        <c:dLbls>
          <c:showLegendKey val="0"/>
          <c:showVal val="0"/>
          <c:showCatName val="0"/>
          <c:showSerName val="0"/>
          <c:showPercent val="0"/>
          <c:showBubbleSize val="0"/>
        </c:dLbls>
        <c:gapWidth val="182"/>
        <c:axId val="2121240848"/>
        <c:axId val="1210896944"/>
      </c:barChart>
      <c:catAx>
        <c:axId val="2121240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10896944"/>
        <c:crosses val="autoZero"/>
        <c:auto val="1"/>
        <c:lblAlgn val="ctr"/>
        <c:lblOffset val="100"/>
        <c:noMultiLvlLbl val="0"/>
      </c:catAx>
      <c:valAx>
        <c:axId val="1210896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2124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3!PivotTable15</c:name>
    <c:fmtId val="21"/>
  </c:pivotSource>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3'!$C$6</c:f>
              <c:strCache>
                <c:ptCount val="1"/>
                <c:pt idx="0">
                  <c:v>Total</c:v>
                </c:pt>
              </c:strCache>
            </c:strRef>
          </c:tx>
          <c:spPr>
            <a:solidFill>
              <a:srgbClr val="92D050"/>
            </a:solidFill>
            <a:ln>
              <a:noFill/>
            </a:ln>
            <a:effectLst/>
          </c:spPr>
          <c:invertIfNegative val="0"/>
          <c:cat>
            <c:strRef>
              <c:f>'Analysis 3'!$B$7:$B$11</c:f>
              <c:strCache>
                <c:ptCount val="4"/>
                <c:pt idx="0">
                  <c:v>Cheque</c:v>
                </c:pt>
                <c:pt idx="1">
                  <c:v>Deposit</c:v>
                </c:pt>
                <c:pt idx="2">
                  <c:v>Online Transfer</c:v>
                </c:pt>
                <c:pt idx="3">
                  <c:v>Withdrawal</c:v>
                </c:pt>
              </c:strCache>
            </c:strRef>
          </c:cat>
          <c:val>
            <c:numRef>
              <c:f>'Analysis 3'!$C$7:$C$11</c:f>
              <c:numCache>
                <c:formatCode>General</c:formatCode>
                <c:ptCount val="4"/>
                <c:pt idx="0">
                  <c:v>108</c:v>
                </c:pt>
                <c:pt idx="1">
                  <c:v>140</c:v>
                </c:pt>
                <c:pt idx="2">
                  <c:v>136</c:v>
                </c:pt>
                <c:pt idx="3">
                  <c:v>116</c:v>
                </c:pt>
              </c:numCache>
            </c:numRef>
          </c:val>
          <c:extLst>
            <c:ext xmlns:c16="http://schemas.microsoft.com/office/drawing/2014/chart" uri="{C3380CC4-5D6E-409C-BE32-E72D297353CC}">
              <c16:uniqueId val="{00000000-70F3-4C45-83CD-7A848480DD7C}"/>
            </c:ext>
          </c:extLst>
        </c:ser>
        <c:dLbls>
          <c:showLegendKey val="0"/>
          <c:showVal val="0"/>
          <c:showCatName val="0"/>
          <c:showSerName val="0"/>
          <c:showPercent val="0"/>
          <c:showBubbleSize val="0"/>
        </c:dLbls>
        <c:gapWidth val="182"/>
        <c:axId val="2133221216"/>
        <c:axId val="1210922384"/>
      </c:barChart>
      <c:catAx>
        <c:axId val="213322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10922384"/>
        <c:crosses val="autoZero"/>
        <c:auto val="1"/>
        <c:lblAlgn val="ctr"/>
        <c:lblOffset val="100"/>
        <c:noMultiLvlLbl val="0"/>
      </c:catAx>
      <c:valAx>
        <c:axId val="1210922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3322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2!PivotTable12</c:name>
    <c:fmtId val="5"/>
  </c:pivotSource>
  <c:chart>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doughnutChart>
        <c:varyColors val="1"/>
        <c:ser>
          <c:idx val="0"/>
          <c:order val="0"/>
          <c:tx>
            <c:strRef>
              <c:f>'Analysis 2'!$C$31:$C$32</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96-4ED3-AA10-4B13B5B016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96-4ED3-AA10-4B13B5B016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96-4ED3-AA10-4B13B5B016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96-4ED3-AA10-4B13B5B016D9}"/>
              </c:ext>
            </c:extLst>
          </c:dPt>
          <c:cat>
            <c:strRef>
              <c:f>'Analysis 2'!$B$33:$B$37</c:f>
              <c:strCache>
                <c:ptCount val="4"/>
                <c:pt idx="0">
                  <c:v>Cheque</c:v>
                </c:pt>
                <c:pt idx="1">
                  <c:v>Deposit</c:v>
                </c:pt>
                <c:pt idx="2">
                  <c:v>Online Transfer</c:v>
                </c:pt>
                <c:pt idx="3">
                  <c:v>Withdrawal</c:v>
                </c:pt>
              </c:strCache>
            </c:strRef>
          </c:cat>
          <c:val>
            <c:numRef>
              <c:f>'Analysis 2'!$C$33:$C$37</c:f>
              <c:numCache>
                <c:formatCode>General</c:formatCode>
                <c:ptCount val="4"/>
                <c:pt idx="0">
                  <c:v>106</c:v>
                </c:pt>
                <c:pt idx="1">
                  <c:v>139</c:v>
                </c:pt>
                <c:pt idx="2">
                  <c:v>131</c:v>
                </c:pt>
                <c:pt idx="3">
                  <c:v>111</c:v>
                </c:pt>
              </c:numCache>
            </c:numRef>
          </c:val>
          <c:extLst>
            <c:ext xmlns:c16="http://schemas.microsoft.com/office/drawing/2014/chart" uri="{C3380CC4-5D6E-409C-BE32-E72D297353CC}">
              <c16:uniqueId val="{00000008-A396-4ED3-AA10-4B13B5B016D9}"/>
            </c:ext>
          </c:extLst>
        </c:ser>
        <c:ser>
          <c:idx val="1"/>
          <c:order val="1"/>
          <c:tx>
            <c:strRef>
              <c:f>'Analysis 2'!$D$31:$D$32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396-4ED3-AA10-4B13B5B016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396-4ED3-AA10-4B13B5B016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A396-4ED3-AA10-4B13B5B016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A396-4ED3-AA10-4B13B5B016D9}"/>
              </c:ext>
            </c:extLst>
          </c:dPt>
          <c:cat>
            <c:strRef>
              <c:f>'Analysis 2'!$B$33:$B$37</c:f>
              <c:strCache>
                <c:ptCount val="4"/>
                <c:pt idx="0">
                  <c:v>Cheque</c:v>
                </c:pt>
                <c:pt idx="1">
                  <c:v>Deposit</c:v>
                </c:pt>
                <c:pt idx="2">
                  <c:v>Online Transfer</c:v>
                </c:pt>
                <c:pt idx="3">
                  <c:v>Withdrawal</c:v>
                </c:pt>
              </c:strCache>
            </c:strRef>
          </c:cat>
          <c:val>
            <c:numRef>
              <c:f>'Analysis 2'!$D$33:$D$37</c:f>
              <c:numCache>
                <c:formatCode>General</c:formatCode>
                <c:ptCount val="4"/>
                <c:pt idx="0">
                  <c:v>2</c:v>
                </c:pt>
                <c:pt idx="1">
                  <c:v>1</c:v>
                </c:pt>
                <c:pt idx="2">
                  <c:v>5</c:v>
                </c:pt>
                <c:pt idx="3">
                  <c:v>5</c:v>
                </c:pt>
              </c:numCache>
            </c:numRef>
          </c:val>
          <c:extLst>
            <c:ext xmlns:c16="http://schemas.microsoft.com/office/drawing/2014/chart" uri="{C3380CC4-5D6E-409C-BE32-E72D297353CC}">
              <c16:uniqueId val="{00000011-A396-4ED3-AA10-4B13B5B016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2!PivotTable9</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2'!$F$8:$F$9</c:f>
              <c:strCache>
                <c:ptCount val="1"/>
                <c:pt idx="0">
                  <c:v>No</c:v>
                </c:pt>
              </c:strCache>
            </c:strRef>
          </c:tx>
          <c:spPr>
            <a:solidFill>
              <a:srgbClr val="0070C0"/>
            </a:solidFill>
            <a:ln>
              <a:noFill/>
            </a:ln>
            <a:effectLst/>
          </c:spPr>
          <c:invertIfNegative val="0"/>
          <c:cat>
            <c:strRef>
              <c:f>'Analysis 2'!$E$10:$E$15</c:f>
              <c:strCache>
                <c:ptCount val="5"/>
                <c:pt idx="0">
                  <c:v>Cash</c:v>
                </c:pt>
                <c:pt idx="1">
                  <c:v>Credit Card</c:v>
                </c:pt>
                <c:pt idx="2">
                  <c:v>Debit Card</c:v>
                </c:pt>
                <c:pt idx="3">
                  <c:v>Net Banking</c:v>
                </c:pt>
                <c:pt idx="4">
                  <c:v>UPI</c:v>
                </c:pt>
              </c:strCache>
            </c:strRef>
          </c:cat>
          <c:val>
            <c:numRef>
              <c:f>'Analysis 2'!$F$10:$F$15</c:f>
              <c:numCache>
                <c:formatCode>General</c:formatCode>
                <c:ptCount val="5"/>
                <c:pt idx="0">
                  <c:v>93</c:v>
                </c:pt>
                <c:pt idx="1">
                  <c:v>98</c:v>
                </c:pt>
                <c:pt idx="2">
                  <c:v>126</c:v>
                </c:pt>
                <c:pt idx="3">
                  <c:v>78</c:v>
                </c:pt>
                <c:pt idx="4">
                  <c:v>92</c:v>
                </c:pt>
              </c:numCache>
            </c:numRef>
          </c:val>
          <c:extLst>
            <c:ext xmlns:c16="http://schemas.microsoft.com/office/drawing/2014/chart" uri="{C3380CC4-5D6E-409C-BE32-E72D297353CC}">
              <c16:uniqueId val="{00000000-E6E4-4A3C-8A6A-2A21ECC2B1AF}"/>
            </c:ext>
          </c:extLst>
        </c:ser>
        <c:ser>
          <c:idx val="1"/>
          <c:order val="1"/>
          <c:tx>
            <c:strRef>
              <c:f>'Analysis 2'!$G$8:$G$9</c:f>
              <c:strCache>
                <c:ptCount val="1"/>
                <c:pt idx="0">
                  <c:v>Yes</c:v>
                </c:pt>
              </c:strCache>
            </c:strRef>
          </c:tx>
          <c:spPr>
            <a:solidFill>
              <a:schemeClr val="accent2"/>
            </a:solidFill>
            <a:ln>
              <a:noFill/>
            </a:ln>
            <a:effectLst/>
          </c:spPr>
          <c:invertIfNegative val="0"/>
          <c:cat>
            <c:strRef>
              <c:f>'Analysis 2'!$E$10:$E$15</c:f>
              <c:strCache>
                <c:ptCount val="5"/>
                <c:pt idx="0">
                  <c:v>Cash</c:v>
                </c:pt>
                <c:pt idx="1">
                  <c:v>Credit Card</c:v>
                </c:pt>
                <c:pt idx="2">
                  <c:v>Debit Card</c:v>
                </c:pt>
                <c:pt idx="3">
                  <c:v>Net Banking</c:v>
                </c:pt>
                <c:pt idx="4">
                  <c:v>UPI</c:v>
                </c:pt>
              </c:strCache>
            </c:strRef>
          </c:cat>
          <c:val>
            <c:numRef>
              <c:f>'Analysis 2'!$G$10:$G$15</c:f>
              <c:numCache>
                <c:formatCode>General</c:formatCode>
                <c:ptCount val="5"/>
                <c:pt idx="0">
                  <c:v>5</c:v>
                </c:pt>
                <c:pt idx="1">
                  <c:v>2</c:v>
                </c:pt>
                <c:pt idx="2">
                  <c:v>2</c:v>
                </c:pt>
                <c:pt idx="3">
                  <c:v>2</c:v>
                </c:pt>
                <c:pt idx="4">
                  <c:v>2</c:v>
                </c:pt>
              </c:numCache>
            </c:numRef>
          </c:val>
          <c:extLst>
            <c:ext xmlns:c16="http://schemas.microsoft.com/office/drawing/2014/chart" uri="{C3380CC4-5D6E-409C-BE32-E72D297353CC}">
              <c16:uniqueId val="{00000006-E6E4-4A3C-8A6A-2A21ECC2B1AF}"/>
            </c:ext>
          </c:extLst>
        </c:ser>
        <c:dLbls>
          <c:showLegendKey val="0"/>
          <c:showVal val="0"/>
          <c:showCatName val="0"/>
          <c:showSerName val="0"/>
          <c:showPercent val="0"/>
          <c:showBubbleSize val="0"/>
        </c:dLbls>
        <c:gapWidth val="182"/>
        <c:axId val="1893509776"/>
        <c:axId val="1210903184"/>
      </c:barChart>
      <c:catAx>
        <c:axId val="189350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10903184"/>
        <c:crosses val="autoZero"/>
        <c:auto val="1"/>
        <c:lblAlgn val="ctr"/>
        <c:lblOffset val="100"/>
        <c:noMultiLvlLbl val="0"/>
      </c:catAx>
      <c:valAx>
        <c:axId val="1210903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9350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2!PivotTable14</c:name>
    <c:fmtId val="1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2'!$Q$13:$Q$14</c:f>
              <c:strCache>
                <c:ptCount val="1"/>
                <c:pt idx="0">
                  <c:v>No</c:v>
                </c:pt>
              </c:strCache>
            </c:strRef>
          </c:tx>
          <c:spPr>
            <a:ln w="28575" cap="rnd">
              <a:solidFill>
                <a:schemeClr val="accent1"/>
              </a:solidFill>
              <a:round/>
            </a:ln>
            <a:effectLst/>
          </c:spPr>
          <c:marker>
            <c:symbol val="none"/>
          </c:marker>
          <c:cat>
            <c:strRef>
              <c:f>'Analysis 2'!$P$15:$P$40</c:f>
              <c:strCache>
                <c:ptCount val="25"/>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strCache>
            </c:strRef>
          </c:cat>
          <c:val>
            <c:numRef>
              <c:f>'Analysis 2'!$Q$15:$Q$40</c:f>
              <c:numCache>
                <c:formatCode>General</c:formatCode>
                <c:ptCount val="25"/>
                <c:pt idx="0">
                  <c:v>14</c:v>
                </c:pt>
                <c:pt idx="1">
                  <c:v>20</c:v>
                </c:pt>
                <c:pt idx="2">
                  <c:v>17</c:v>
                </c:pt>
                <c:pt idx="3">
                  <c:v>15</c:v>
                </c:pt>
                <c:pt idx="4">
                  <c:v>28</c:v>
                </c:pt>
                <c:pt idx="5">
                  <c:v>23</c:v>
                </c:pt>
                <c:pt idx="6">
                  <c:v>19</c:v>
                </c:pt>
                <c:pt idx="7">
                  <c:v>20</c:v>
                </c:pt>
                <c:pt idx="8">
                  <c:v>18</c:v>
                </c:pt>
                <c:pt idx="9">
                  <c:v>24</c:v>
                </c:pt>
                <c:pt idx="10">
                  <c:v>25</c:v>
                </c:pt>
                <c:pt idx="11">
                  <c:v>17</c:v>
                </c:pt>
                <c:pt idx="12">
                  <c:v>16</c:v>
                </c:pt>
                <c:pt idx="13">
                  <c:v>19</c:v>
                </c:pt>
                <c:pt idx="14">
                  <c:v>23</c:v>
                </c:pt>
                <c:pt idx="15">
                  <c:v>24</c:v>
                </c:pt>
                <c:pt idx="16">
                  <c:v>26</c:v>
                </c:pt>
                <c:pt idx="17">
                  <c:v>16</c:v>
                </c:pt>
                <c:pt idx="18">
                  <c:v>26</c:v>
                </c:pt>
                <c:pt idx="19">
                  <c:v>24</c:v>
                </c:pt>
                <c:pt idx="20">
                  <c:v>18</c:v>
                </c:pt>
                <c:pt idx="21">
                  <c:v>21</c:v>
                </c:pt>
                <c:pt idx="22">
                  <c:v>13</c:v>
                </c:pt>
                <c:pt idx="23">
                  <c:v>17</c:v>
                </c:pt>
                <c:pt idx="24">
                  <c:v>4</c:v>
                </c:pt>
              </c:numCache>
            </c:numRef>
          </c:val>
          <c:smooth val="0"/>
          <c:extLst>
            <c:ext xmlns:c16="http://schemas.microsoft.com/office/drawing/2014/chart" uri="{C3380CC4-5D6E-409C-BE32-E72D297353CC}">
              <c16:uniqueId val="{00000000-128F-4BAD-90EC-255DFD0A3916}"/>
            </c:ext>
          </c:extLst>
        </c:ser>
        <c:ser>
          <c:idx val="1"/>
          <c:order val="1"/>
          <c:tx>
            <c:strRef>
              <c:f>'Analysis 2'!$R$13:$R$14</c:f>
              <c:strCache>
                <c:ptCount val="1"/>
                <c:pt idx="0">
                  <c:v>Yes</c:v>
                </c:pt>
              </c:strCache>
            </c:strRef>
          </c:tx>
          <c:spPr>
            <a:ln w="28575" cap="rnd">
              <a:solidFill>
                <a:schemeClr val="accent2"/>
              </a:solidFill>
              <a:round/>
            </a:ln>
            <a:effectLst/>
          </c:spPr>
          <c:marker>
            <c:symbol val="none"/>
          </c:marker>
          <c:cat>
            <c:strRef>
              <c:f>'Analysis 2'!$P$15:$P$40</c:f>
              <c:strCache>
                <c:ptCount val="25"/>
                <c:pt idx="0">
                  <c:v>2023-07</c:v>
                </c:pt>
                <c:pt idx="1">
                  <c:v>2023-08</c:v>
                </c:pt>
                <c:pt idx="2">
                  <c:v>2023-09</c:v>
                </c:pt>
                <c:pt idx="3">
                  <c:v>2023-10</c:v>
                </c:pt>
                <c:pt idx="4">
                  <c:v>2023-11</c:v>
                </c:pt>
                <c:pt idx="5">
                  <c:v>2023-12</c:v>
                </c:pt>
                <c:pt idx="6">
                  <c:v>2024-01</c:v>
                </c:pt>
                <c:pt idx="7">
                  <c:v>2024-02</c:v>
                </c:pt>
                <c:pt idx="8">
                  <c:v>2024-03</c:v>
                </c:pt>
                <c:pt idx="9">
                  <c:v>2024-04</c:v>
                </c:pt>
                <c:pt idx="10">
                  <c:v>2024-05</c:v>
                </c:pt>
                <c:pt idx="11">
                  <c:v>2024-06</c:v>
                </c:pt>
                <c:pt idx="12">
                  <c:v>2024-07</c:v>
                </c:pt>
                <c:pt idx="13">
                  <c:v>2024-08</c:v>
                </c:pt>
                <c:pt idx="14">
                  <c:v>2024-09</c:v>
                </c:pt>
                <c:pt idx="15">
                  <c:v>2024-10</c:v>
                </c:pt>
                <c:pt idx="16">
                  <c:v>2024-11</c:v>
                </c:pt>
                <c:pt idx="17">
                  <c:v>2024-12</c:v>
                </c:pt>
                <c:pt idx="18">
                  <c:v>2025-01</c:v>
                </c:pt>
                <c:pt idx="19">
                  <c:v>2025-02</c:v>
                </c:pt>
                <c:pt idx="20">
                  <c:v>2025-03</c:v>
                </c:pt>
                <c:pt idx="21">
                  <c:v>2025-04</c:v>
                </c:pt>
                <c:pt idx="22">
                  <c:v>2025-05</c:v>
                </c:pt>
                <c:pt idx="23">
                  <c:v>2025-06</c:v>
                </c:pt>
                <c:pt idx="24">
                  <c:v>2025-07</c:v>
                </c:pt>
              </c:strCache>
            </c:strRef>
          </c:cat>
          <c:val>
            <c:numRef>
              <c:f>'Analysis 2'!$R$15:$R$40</c:f>
              <c:numCache>
                <c:formatCode>General</c:formatCode>
                <c:ptCount val="25"/>
                <c:pt idx="7">
                  <c:v>1</c:v>
                </c:pt>
                <c:pt idx="8">
                  <c:v>4</c:v>
                </c:pt>
                <c:pt idx="10">
                  <c:v>1</c:v>
                </c:pt>
                <c:pt idx="11">
                  <c:v>1</c:v>
                </c:pt>
                <c:pt idx="15">
                  <c:v>2</c:v>
                </c:pt>
                <c:pt idx="16">
                  <c:v>1</c:v>
                </c:pt>
                <c:pt idx="22">
                  <c:v>3</c:v>
                </c:pt>
              </c:numCache>
            </c:numRef>
          </c:val>
          <c:smooth val="0"/>
          <c:extLst>
            <c:ext xmlns:c16="http://schemas.microsoft.com/office/drawing/2014/chart" uri="{C3380CC4-5D6E-409C-BE32-E72D297353CC}">
              <c16:uniqueId val="{00000005-128F-4BAD-90EC-255DFD0A3916}"/>
            </c:ext>
          </c:extLst>
        </c:ser>
        <c:dLbls>
          <c:showLegendKey val="0"/>
          <c:showVal val="0"/>
          <c:showCatName val="0"/>
          <c:showSerName val="0"/>
          <c:showPercent val="0"/>
          <c:showBubbleSize val="0"/>
        </c:dLbls>
        <c:smooth val="0"/>
        <c:axId val="2133213792"/>
        <c:axId val="1210896464"/>
      </c:lineChart>
      <c:catAx>
        <c:axId val="213321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10896464"/>
        <c:crosses val="autoZero"/>
        <c:auto val="1"/>
        <c:lblAlgn val="ctr"/>
        <c:lblOffset val="100"/>
        <c:noMultiLvlLbl val="0"/>
      </c:catAx>
      <c:valAx>
        <c:axId val="121089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3321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3!PivotTable16</c:name>
    <c:fmtId val="5"/>
  </c:pivotSource>
  <c:chart>
    <c:title>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3'!$C$17</c:f>
              <c:strCache>
                <c:ptCount val="1"/>
                <c:pt idx="0">
                  <c:v>Total</c:v>
                </c:pt>
              </c:strCache>
            </c:strRef>
          </c:tx>
          <c:spPr>
            <a:solidFill>
              <a:schemeClr val="accent1"/>
            </a:solidFill>
            <a:ln>
              <a:noFill/>
            </a:ln>
            <a:effectLst/>
          </c:spPr>
          <c:invertIfNegative val="0"/>
          <c:cat>
            <c:strRef>
              <c:f>'Analysis 3'!$B$18:$B$518</c:f>
              <c:strCache>
                <c:ptCount val="500"/>
                <c:pt idx="0">
                  <c:v>100803</c:v>
                </c:pt>
                <c:pt idx="1">
                  <c:v>102739</c:v>
                </c:pt>
                <c:pt idx="2">
                  <c:v>103977</c:v>
                </c:pt>
                <c:pt idx="3">
                  <c:v>105013</c:v>
                </c:pt>
                <c:pt idx="4">
                  <c:v>107172</c:v>
                </c:pt>
                <c:pt idx="5">
                  <c:v>111146</c:v>
                </c:pt>
                <c:pt idx="6">
                  <c:v>112063</c:v>
                </c:pt>
                <c:pt idx="7">
                  <c:v>113883</c:v>
                </c:pt>
                <c:pt idx="8">
                  <c:v>114174</c:v>
                </c:pt>
                <c:pt idx="9">
                  <c:v>116476</c:v>
                </c:pt>
                <c:pt idx="10">
                  <c:v>116982</c:v>
                </c:pt>
                <c:pt idx="11">
                  <c:v>117469</c:v>
                </c:pt>
                <c:pt idx="12">
                  <c:v>117914</c:v>
                </c:pt>
                <c:pt idx="13">
                  <c:v>118796</c:v>
                </c:pt>
                <c:pt idx="14">
                  <c:v>123451</c:v>
                </c:pt>
                <c:pt idx="15">
                  <c:v>124171</c:v>
                </c:pt>
                <c:pt idx="16">
                  <c:v>128077</c:v>
                </c:pt>
                <c:pt idx="17">
                  <c:v>128757</c:v>
                </c:pt>
                <c:pt idx="18">
                  <c:v>129665</c:v>
                </c:pt>
                <c:pt idx="19">
                  <c:v>130029</c:v>
                </c:pt>
                <c:pt idx="20">
                  <c:v>130377</c:v>
                </c:pt>
                <c:pt idx="21">
                  <c:v>132455</c:v>
                </c:pt>
                <c:pt idx="22">
                  <c:v>134765</c:v>
                </c:pt>
                <c:pt idx="23">
                  <c:v>139106</c:v>
                </c:pt>
                <c:pt idx="24">
                  <c:v>143218</c:v>
                </c:pt>
                <c:pt idx="25">
                  <c:v>146344</c:v>
                </c:pt>
                <c:pt idx="26">
                  <c:v>147203</c:v>
                </c:pt>
                <c:pt idx="27">
                  <c:v>147276</c:v>
                </c:pt>
                <c:pt idx="28">
                  <c:v>149140</c:v>
                </c:pt>
                <c:pt idx="29">
                  <c:v>150512</c:v>
                </c:pt>
                <c:pt idx="30">
                  <c:v>153582</c:v>
                </c:pt>
                <c:pt idx="31">
                  <c:v>154017</c:v>
                </c:pt>
                <c:pt idx="32">
                  <c:v>155745</c:v>
                </c:pt>
                <c:pt idx="33">
                  <c:v>155800</c:v>
                </c:pt>
                <c:pt idx="34">
                  <c:v>155828</c:v>
                </c:pt>
                <c:pt idx="35">
                  <c:v>156081</c:v>
                </c:pt>
                <c:pt idx="36">
                  <c:v>156651</c:v>
                </c:pt>
                <c:pt idx="37">
                  <c:v>159266</c:v>
                </c:pt>
                <c:pt idx="38">
                  <c:v>161024</c:v>
                </c:pt>
                <c:pt idx="39">
                  <c:v>163530</c:v>
                </c:pt>
                <c:pt idx="40">
                  <c:v>163591</c:v>
                </c:pt>
                <c:pt idx="41">
                  <c:v>167371</c:v>
                </c:pt>
                <c:pt idx="42">
                  <c:v>167811</c:v>
                </c:pt>
                <c:pt idx="43">
                  <c:v>171459</c:v>
                </c:pt>
                <c:pt idx="44">
                  <c:v>171990</c:v>
                </c:pt>
                <c:pt idx="45">
                  <c:v>172968</c:v>
                </c:pt>
                <c:pt idx="46">
                  <c:v>172992</c:v>
                </c:pt>
                <c:pt idx="47">
                  <c:v>178161</c:v>
                </c:pt>
                <c:pt idx="48">
                  <c:v>179518</c:v>
                </c:pt>
                <c:pt idx="49">
                  <c:v>179714</c:v>
                </c:pt>
                <c:pt idx="50">
                  <c:v>181715</c:v>
                </c:pt>
                <c:pt idx="51">
                  <c:v>181978</c:v>
                </c:pt>
                <c:pt idx="52">
                  <c:v>182090</c:v>
                </c:pt>
                <c:pt idx="53">
                  <c:v>182726</c:v>
                </c:pt>
                <c:pt idx="54">
                  <c:v>185724</c:v>
                </c:pt>
                <c:pt idx="55">
                  <c:v>186325</c:v>
                </c:pt>
                <c:pt idx="56">
                  <c:v>187594</c:v>
                </c:pt>
                <c:pt idx="57">
                  <c:v>194074</c:v>
                </c:pt>
                <c:pt idx="58">
                  <c:v>194555</c:v>
                </c:pt>
                <c:pt idx="59">
                  <c:v>196451</c:v>
                </c:pt>
                <c:pt idx="60">
                  <c:v>196463</c:v>
                </c:pt>
                <c:pt idx="61">
                  <c:v>209976</c:v>
                </c:pt>
                <c:pt idx="62">
                  <c:v>212429</c:v>
                </c:pt>
                <c:pt idx="63">
                  <c:v>217181</c:v>
                </c:pt>
                <c:pt idx="64">
                  <c:v>219887</c:v>
                </c:pt>
                <c:pt idx="65">
                  <c:v>222331</c:v>
                </c:pt>
                <c:pt idx="66">
                  <c:v>223350</c:v>
                </c:pt>
                <c:pt idx="67">
                  <c:v>223517</c:v>
                </c:pt>
                <c:pt idx="68">
                  <c:v>223924</c:v>
                </c:pt>
                <c:pt idx="69">
                  <c:v>223991</c:v>
                </c:pt>
                <c:pt idx="70">
                  <c:v>224498</c:v>
                </c:pt>
                <c:pt idx="71">
                  <c:v>224857</c:v>
                </c:pt>
                <c:pt idx="72">
                  <c:v>227576</c:v>
                </c:pt>
                <c:pt idx="73">
                  <c:v>232569</c:v>
                </c:pt>
                <c:pt idx="74">
                  <c:v>240183</c:v>
                </c:pt>
                <c:pt idx="75">
                  <c:v>240903</c:v>
                </c:pt>
                <c:pt idx="76">
                  <c:v>245396</c:v>
                </c:pt>
                <c:pt idx="77">
                  <c:v>246445</c:v>
                </c:pt>
                <c:pt idx="78">
                  <c:v>247151</c:v>
                </c:pt>
                <c:pt idx="79">
                  <c:v>247721</c:v>
                </c:pt>
                <c:pt idx="80">
                  <c:v>256689</c:v>
                </c:pt>
                <c:pt idx="81">
                  <c:v>256851</c:v>
                </c:pt>
                <c:pt idx="82">
                  <c:v>258410</c:v>
                </c:pt>
                <c:pt idx="83">
                  <c:v>264651</c:v>
                </c:pt>
                <c:pt idx="84">
                  <c:v>265807</c:v>
                </c:pt>
                <c:pt idx="85">
                  <c:v>268498</c:v>
                </c:pt>
                <c:pt idx="86">
                  <c:v>270470</c:v>
                </c:pt>
                <c:pt idx="87">
                  <c:v>273869</c:v>
                </c:pt>
                <c:pt idx="88">
                  <c:v>275035</c:v>
                </c:pt>
                <c:pt idx="89">
                  <c:v>275383</c:v>
                </c:pt>
                <c:pt idx="90">
                  <c:v>282725</c:v>
                </c:pt>
                <c:pt idx="91">
                  <c:v>286469</c:v>
                </c:pt>
                <c:pt idx="92">
                  <c:v>287130</c:v>
                </c:pt>
                <c:pt idx="93">
                  <c:v>288231</c:v>
                </c:pt>
                <c:pt idx="94">
                  <c:v>294793</c:v>
                </c:pt>
                <c:pt idx="95">
                  <c:v>295399</c:v>
                </c:pt>
                <c:pt idx="96">
                  <c:v>298244</c:v>
                </c:pt>
                <c:pt idx="97">
                  <c:v>300670</c:v>
                </c:pt>
                <c:pt idx="98">
                  <c:v>303217</c:v>
                </c:pt>
                <c:pt idx="99">
                  <c:v>303453</c:v>
                </c:pt>
                <c:pt idx="100">
                  <c:v>308373</c:v>
                </c:pt>
                <c:pt idx="101">
                  <c:v>310437</c:v>
                </c:pt>
                <c:pt idx="102">
                  <c:v>311363</c:v>
                </c:pt>
                <c:pt idx="103">
                  <c:v>313682</c:v>
                </c:pt>
                <c:pt idx="104">
                  <c:v>314894</c:v>
                </c:pt>
                <c:pt idx="105">
                  <c:v>316483</c:v>
                </c:pt>
                <c:pt idx="106">
                  <c:v>316547</c:v>
                </c:pt>
                <c:pt idx="107">
                  <c:v>317781</c:v>
                </c:pt>
                <c:pt idx="108">
                  <c:v>322365</c:v>
                </c:pt>
                <c:pt idx="109">
                  <c:v>325170</c:v>
                </c:pt>
                <c:pt idx="110">
                  <c:v>330179</c:v>
                </c:pt>
                <c:pt idx="111">
                  <c:v>330649</c:v>
                </c:pt>
                <c:pt idx="112">
                  <c:v>332907</c:v>
                </c:pt>
                <c:pt idx="113">
                  <c:v>334036</c:v>
                </c:pt>
                <c:pt idx="114">
                  <c:v>334468</c:v>
                </c:pt>
                <c:pt idx="115">
                  <c:v>335618</c:v>
                </c:pt>
                <c:pt idx="116">
                  <c:v>339747</c:v>
                </c:pt>
                <c:pt idx="117">
                  <c:v>343315</c:v>
                </c:pt>
                <c:pt idx="118">
                  <c:v>344715</c:v>
                </c:pt>
                <c:pt idx="119">
                  <c:v>350891</c:v>
                </c:pt>
                <c:pt idx="120">
                  <c:v>355753</c:v>
                </c:pt>
                <c:pt idx="121">
                  <c:v>356658</c:v>
                </c:pt>
                <c:pt idx="122">
                  <c:v>358049</c:v>
                </c:pt>
                <c:pt idx="123">
                  <c:v>361462</c:v>
                </c:pt>
                <c:pt idx="124">
                  <c:v>362079</c:v>
                </c:pt>
                <c:pt idx="125">
                  <c:v>362469</c:v>
                </c:pt>
                <c:pt idx="126">
                  <c:v>363910</c:v>
                </c:pt>
                <c:pt idx="127">
                  <c:v>364377</c:v>
                </c:pt>
                <c:pt idx="128">
                  <c:v>365649</c:v>
                </c:pt>
                <c:pt idx="129">
                  <c:v>366999</c:v>
                </c:pt>
                <c:pt idx="130">
                  <c:v>367162</c:v>
                </c:pt>
                <c:pt idx="131">
                  <c:v>372542</c:v>
                </c:pt>
                <c:pt idx="132">
                  <c:v>372576</c:v>
                </c:pt>
                <c:pt idx="133">
                  <c:v>373993</c:v>
                </c:pt>
                <c:pt idx="134">
                  <c:v>374263</c:v>
                </c:pt>
                <c:pt idx="135">
                  <c:v>378722</c:v>
                </c:pt>
                <c:pt idx="136">
                  <c:v>381958</c:v>
                </c:pt>
                <c:pt idx="137">
                  <c:v>382042</c:v>
                </c:pt>
                <c:pt idx="138">
                  <c:v>384060</c:v>
                </c:pt>
                <c:pt idx="139">
                  <c:v>387939</c:v>
                </c:pt>
                <c:pt idx="140">
                  <c:v>390792</c:v>
                </c:pt>
                <c:pt idx="141">
                  <c:v>390841</c:v>
                </c:pt>
                <c:pt idx="142">
                  <c:v>392320</c:v>
                </c:pt>
                <c:pt idx="143">
                  <c:v>392598</c:v>
                </c:pt>
                <c:pt idx="144">
                  <c:v>396948</c:v>
                </c:pt>
                <c:pt idx="145">
                  <c:v>404602</c:v>
                </c:pt>
                <c:pt idx="146">
                  <c:v>405161</c:v>
                </c:pt>
                <c:pt idx="147">
                  <c:v>405648</c:v>
                </c:pt>
                <c:pt idx="148">
                  <c:v>405881</c:v>
                </c:pt>
                <c:pt idx="149">
                  <c:v>407754</c:v>
                </c:pt>
                <c:pt idx="150">
                  <c:v>408340</c:v>
                </c:pt>
                <c:pt idx="151">
                  <c:v>408467</c:v>
                </c:pt>
                <c:pt idx="152">
                  <c:v>409256</c:v>
                </c:pt>
                <c:pt idx="153">
                  <c:v>409468</c:v>
                </c:pt>
                <c:pt idx="154">
                  <c:v>411009</c:v>
                </c:pt>
                <c:pt idx="155">
                  <c:v>415091</c:v>
                </c:pt>
                <c:pt idx="156">
                  <c:v>417871</c:v>
                </c:pt>
                <c:pt idx="157">
                  <c:v>421539</c:v>
                </c:pt>
                <c:pt idx="158">
                  <c:v>423000</c:v>
                </c:pt>
                <c:pt idx="159">
                  <c:v>426604</c:v>
                </c:pt>
                <c:pt idx="160">
                  <c:v>427315</c:v>
                </c:pt>
                <c:pt idx="161">
                  <c:v>427894</c:v>
                </c:pt>
                <c:pt idx="162">
                  <c:v>429704</c:v>
                </c:pt>
                <c:pt idx="163">
                  <c:v>430975</c:v>
                </c:pt>
                <c:pt idx="164">
                  <c:v>432558</c:v>
                </c:pt>
                <c:pt idx="165">
                  <c:v>433063</c:v>
                </c:pt>
                <c:pt idx="166">
                  <c:v>433250</c:v>
                </c:pt>
                <c:pt idx="167">
                  <c:v>433578</c:v>
                </c:pt>
                <c:pt idx="168">
                  <c:v>433879</c:v>
                </c:pt>
                <c:pt idx="169">
                  <c:v>434987</c:v>
                </c:pt>
                <c:pt idx="170">
                  <c:v>436075</c:v>
                </c:pt>
                <c:pt idx="171">
                  <c:v>438809</c:v>
                </c:pt>
                <c:pt idx="172">
                  <c:v>439411</c:v>
                </c:pt>
                <c:pt idx="173">
                  <c:v>441139</c:v>
                </c:pt>
                <c:pt idx="174">
                  <c:v>441216</c:v>
                </c:pt>
                <c:pt idx="175">
                  <c:v>445390</c:v>
                </c:pt>
                <c:pt idx="176">
                  <c:v>446826</c:v>
                </c:pt>
                <c:pt idx="177">
                  <c:v>449494</c:v>
                </c:pt>
                <c:pt idx="178">
                  <c:v>450272</c:v>
                </c:pt>
                <c:pt idx="179">
                  <c:v>453621</c:v>
                </c:pt>
                <c:pt idx="180">
                  <c:v>453699</c:v>
                </c:pt>
                <c:pt idx="181">
                  <c:v>454612</c:v>
                </c:pt>
                <c:pt idx="182">
                  <c:v>457761</c:v>
                </c:pt>
                <c:pt idx="183">
                  <c:v>459550</c:v>
                </c:pt>
                <c:pt idx="184">
                  <c:v>459857</c:v>
                </c:pt>
                <c:pt idx="185">
                  <c:v>460288</c:v>
                </c:pt>
                <c:pt idx="186">
                  <c:v>460707</c:v>
                </c:pt>
                <c:pt idx="187">
                  <c:v>462822</c:v>
                </c:pt>
                <c:pt idx="188">
                  <c:v>464154</c:v>
                </c:pt>
                <c:pt idx="189">
                  <c:v>464910</c:v>
                </c:pt>
                <c:pt idx="190">
                  <c:v>466409</c:v>
                </c:pt>
                <c:pt idx="191">
                  <c:v>473260</c:v>
                </c:pt>
                <c:pt idx="192">
                  <c:v>473572</c:v>
                </c:pt>
                <c:pt idx="193">
                  <c:v>475202</c:v>
                </c:pt>
                <c:pt idx="194">
                  <c:v>475616</c:v>
                </c:pt>
                <c:pt idx="195">
                  <c:v>479530</c:v>
                </c:pt>
                <c:pt idx="196">
                  <c:v>479949</c:v>
                </c:pt>
                <c:pt idx="197">
                  <c:v>481552</c:v>
                </c:pt>
                <c:pt idx="198">
                  <c:v>489951</c:v>
                </c:pt>
                <c:pt idx="199">
                  <c:v>490738</c:v>
                </c:pt>
                <c:pt idx="200">
                  <c:v>492092</c:v>
                </c:pt>
                <c:pt idx="201">
                  <c:v>504669</c:v>
                </c:pt>
                <c:pt idx="202">
                  <c:v>507147</c:v>
                </c:pt>
                <c:pt idx="203">
                  <c:v>507234</c:v>
                </c:pt>
                <c:pt idx="204">
                  <c:v>509024</c:v>
                </c:pt>
                <c:pt idx="205">
                  <c:v>509182</c:v>
                </c:pt>
                <c:pt idx="206">
                  <c:v>509505</c:v>
                </c:pt>
                <c:pt idx="207">
                  <c:v>514407</c:v>
                </c:pt>
                <c:pt idx="208">
                  <c:v>516447</c:v>
                </c:pt>
                <c:pt idx="209">
                  <c:v>518914</c:v>
                </c:pt>
                <c:pt idx="210">
                  <c:v>520243</c:v>
                </c:pt>
                <c:pt idx="211">
                  <c:v>521810</c:v>
                </c:pt>
                <c:pt idx="212">
                  <c:v>523936</c:v>
                </c:pt>
                <c:pt idx="213">
                  <c:v>523970</c:v>
                </c:pt>
                <c:pt idx="214">
                  <c:v>524156</c:v>
                </c:pt>
                <c:pt idx="215">
                  <c:v>524813</c:v>
                </c:pt>
                <c:pt idx="216">
                  <c:v>528399</c:v>
                </c:pt>
                <c:pt idx="217">
                  <c:v>529371</c:v>
                </c:pt>
                <c:pt idx="218">
                  <c:v>530475</c:v>
                </c:pt>
                <c:pt idx="219">
                  <c:v>531859</c:v>
                </c:pt>
                <c:pt idx="220">
                  <c:v>533034</c:v>
                </c:pt>
                <c:pt idx="221">
                  <c:v>533366</c:v>
                </c:pt>
                <c:pt idx="222">
                  <c:v>533757</c:v>
                </c:pt>
                <c:pt idx="223">
                  <c:v>534364</c:v>
                </c:pt>
                <c:pt idx="224">
                  <c:v>536413</c:v>
                </c:pt>
                <c:pt idx="225">
                  <c:v>538077</c:v>
                </c:pt>
                <c:pt idx="226">
                  <c:v>539350</c:v>
                </c:pt>
                <c:pt idx="227">
                  <c:v>544498</c:v>
                </c:pt>
                <c:pt idx="228">
                  <c:v>544541</c:v>
                </c:pt>
                <c:pt idx="229">
                  <c:v>545234</c:v>
                </c:pt>
                <c:pt idx="230">
                  <c:v>545452</c:v>
                </c:pt>
                <c:pt idx="231">
                  <c:v>547953</c:v>
                </c:pt>
                <c:pt idx="232">
                  <c:v>552388</c:v>
                </c:pt>
                <c:pt idx="233">
                  <c:v>552695</c:v>
                </c:pt>
                <c:pt idx="234">
                  <c:v>553618</c:v>
                </c:pt>
                <c:pt idx="235">
                  <c:v>555371</c:v>
                </c:pt>
                <c:pt idx="236">
                  <c:v>557246</c:v>
                </c:pt>
                <c:pt idx="237">
                  <c:v>560593</c:v>
                </c:pt>
                <c:pt idx="238">
                  <c:v>561029</c:v>
                </c:pt>
                <c:pt idx="239">
                  <c:v>563828</c:v>
                </c:pt>
                <c:pt idx="240">
                  <c:v>564685</c:v>
                </c:pt>
                <c:pt idx="241">
                  <c:v>564962</c:v>
                </c:pt>
                <c:pt idx="242">
                  <c:v>565614</c:v>
                </c:pt>
                <c:pt idx="243">
                  <c:v>565942</c:v>
                </c:pt>
                <c:pt idx="244">
                  <c:v>567678</c:v>
                </c:pt>
                <c:pt idx="245">
                  <c:v>567798</c:v>
                </c:pt>
                <c:pt idx="246">
                  <c:v>568353</c:v>
                </c:pt>
                <c:pt idx="247">
                  <c:v>568609</c:v>
                </c:pt>
                <c:pt idx="248">
                  <c:v>568881</c:v>
                </c:pt>
                <c:pt idx="249">
                  <c:v>569629</c:v>
                </c:pt>
                <c:pt idx="250">
                  <c:v>569704</c:v>
                </c:pt>
                <c:pt idx="251">
                  <c:v>570485</c:v>
                </c:pt>
                <c:pt idx="252">
                  <c:v>570696</c:v>
                </c:pt>
                <c:pt idx="253">
                  <c:v>572980</c:v>
                </c:pt>
                <c:pt idx="254">
                  <c:v>575179</c:v>
                </c:pt>
                <c:pt idx="255">
                  <c:v>578684</c:v>
                </c:pt>
                <c:pt idx="256">
                  <c:v>579752</c:v>
                </c:pt>
                <c:pt idx="257">
                  <c:v>579900</c:v>
                </c:pt>
                <c:pt idx="258">
                  <c:v>584031</c:v>
                </c:pt>
                <c:pt idx="259">
                  <c:v>585434</c:v>
                </c:pt>
                <c:pt idx="260">
                  <c:v>586706</c:v>
                </c:pt>
                <c:pt idx="261">
                  <c:v>588946</c:v>
                </c:pt>
                <c:pt idx="262">
                  <c:v>592263</c:v>
                </c:pt>
                <c:pt idx="263">
                  <c:v>592501</c:v>
                </c:pt>
                <c:pt idx="264">
                  <c:v>595797</c:v>
                </c:pt>
                <c:pt idx="265">
                  <c:v>596468</c:v>
                </c:pt>
                <c:pt idx="266">
                  <c:v>599905</c:v>
                </c:pt>
                <c:pt idx="267">
                  <c:v>603602</c:v>
                </c:pt>
                <c:pt idx="268">
                  <c:v>605524</c:v>
                </c:pt>
                <c:pt idx="269">
                  <c:v>612319</c:v>
                </c:pt>
                <c:pt idx="270">
                  <c:v>613463</c:v>
                </c:pt>
                <c:pt idx="271">
                  <c:v>615769</c:v>
                </c:pt>
                <c:pt idx="272">
                  <c:v>615941</c:v>
                </c:pt>
                <c:pt idx="273">
                  <c:v>618099</c:v>
                </c:pt>
                <c:pt idx="274">
                  <c:v>619316</c:v>
                </c:pt>
                <c:pt idx="275">
                  <c:v>621252</c:v>
                </c:pt>
                <c:pt idx="276">
                  <c:v>624419</c:v>
                </c:pt>
                <c:pt idx="277">
                  <c:v>627322</c:v>
                </c:pt>
                <c:pt idx="278">
                  <c:v>627945</c:v>
                </c:pt>
                <c:pt idx="279">
                  <c:v>630575</c:v>
                </c:pt>
                <c:pt idx="280">
                  <c:v>633665</c:v>
                </c:pt>
                <c:pt idx="281">
                  <c:v>634610</c:v>
                </c:pt>
                <c:pt idx="282">
                  <c:v>638327</c:v>
                </c:pt>
                <c:pt idx="283">
                  <c:v>647407</c:v>
                </c:pt>
                <c:pt idx="284">
                  <c:v>647451</c:v>
                </c:pt>
                <c:pt idx="285">
                  <c:v>648879</c:v>
                </c:pt>
                <c:pt idx="286">
                  <c:v>649852</c:v>
                </c:pt>
                <c:pt idx="287">
                  <c:v>651220</c:v>
                </c:pt>
                <c:pt idx="288">
                  <c:v>651973</c:v>
                </c:pt>
                <c:pt idx="289">
                  <c:v>652501</c:v>
                </c:pt>
                <c:pt idx="290">
                  <c:v>653047</c:v>
                </c:pt>
                <c:pt idx="291">
                  <c:v>655225</c:v>
                </c:pt>
                <c:pt idx="292">
                  <c:v>658891</c:v>
                </c:pt>
                <c:pt idx="293">
                  <c:v>658908</c:v>
                </c:pt>
                <c:pt idx="294">
                  <c:v>659251</c:v>
                </c:pt>
                <c:pt idx="295">
                  <c:v>659674</c:v>
                </c:pt>
                <c:pt idx="296">
                  <c:v>661610</c:v>
                </c:pt>
                <c:pt idx="297">
                  <c:v>661975</c:v>
                </c:pt>
                <c:pt idx="298">
                  <c:v>665314</c:v>
                </c:pt>
                <c:pt idx="299">
                  <c:v>672763</c:v>
                </c:pt>
                <c:pt idx="300">
                  <c:v>674437</c:v>
                </c:pt>
                <c:pt idx="301">
                  <c:v>674507</c:v>
                </c:pt>
                <c:pt idx="302">
                  <c:v>675778</c:v>
                </c:pt>
                <c:pt idx="303">
                  <c:v>675784</c:v>
                </c:pt>
                <c:pt idx="304">
                  <c:v>677618</c:v>
                </c:pt>
                <c:pt idx="305">
                  <c:v>678961</c:v>
                </c:pt>
                <c:pt idx="306">
                  <c:v>679021</c:v>
                </c:pt>
                <c:pt idx="307">
                  <c:v>682271</c:v>
                </c:pt>
                <c:pt idx="308">
                  <c:v>683367</c:v>
                </c:pt>
                <c:pt idx="309">
                  <c:v>683741</c:v>
                </c:pt>
                <c:pt idx="310">
                  <c:v>684987</c:v>
                </c:pt>
                <c:pt idx="311">
                  <c:v>685188</c:v>
                </c:pt>
                <c:pt idx="312">
                  <c:v>689047</c:v>
                </c:pt>
                <c:pt idx="313">
                  <c:v>689621</c:v>
                </c:pt>
                <c:pt idx="314">
                  <c:v>690301</c:v>
                </c:pt>
                <c:pt idx="315">
                  <c:v>690626</c:v>
                </c:pt>
                <c:pt idx="316">
                  <c:v>690698</c:v>
                </c:pt>
                <c:pt idx="317">
                  <c:v>691233</c:v>
                </c:pt>
                <c:pt idx="318">
                  <c:v>692379</c:v>
                </c:pt>
                <c:pt idx="319">
                  <c:v>693194</c:v>
                </c:pt>
                <c:pt idx="320">
                  <c:v>694119</c:v>
                </c:pt>
                <c:pt idx="321">
                  <c:v>695378</c:v>
                </c:pt>
                <c:pt idx="322">
                  <c:v>700274</c:v>
                </c:pt>
                <c:pt idx="323">
                  <c:v>704096</c:v>
                </c:pt>
                <c:pt idx="324">
                  <c:v>706008</c:v>
                </c:pt>
                <c:pt idx="325">
                  <c:v>709387</c:v>
                </c:pt>
                <c:pt idx="326">
                  <c:v>712345</c:v>
                </c:pt>
                <c:pt idx="327">
                  <c:v>713748</c:v>
                </c:pt>
                <c:pt idx="328">
                  <c:v>716285</c:v>
                </c:pt>
                <c:pt idx="329">
                  <c:v>718015</c:v>
                </c:pt>
                <c:pt idx="330">
                  <c:v>718531</c:v>
                </c:pt>
                <c:pt idx="331">
                  <c:v>718664</c:v>
                </c:pt>
                <c:pt idx="332">
                  <c:v>721340</c:v>
                </c:pt>
                <c:pt idx="333">
                  <c:v>722523</c:v>
                </c:pt>
                <c:pt idx="334">
                  <c:v>725385</c:v>
                </c:pt>
                <c:pt idx="335">
                  <c:v>725646</c:v>
                </c:pt>
                <c:pt idx="336">
                  <c:v>726225</c:v>
                </c:pt>
                <c:pt idx="337">
                  <c:v>727196</c:v>
                </c:pt>
                <c:pt idx="338">
                  <c:v>727634</c:v>
                </c:pt>
                <c:pt idx="339">
                  <c:v>728256</c:v>
                </c:pt>
                <c:pt idx="340">
                  <c:v>730030</c:v>
                </c:pt>
                <c:pt idx="341">
                  <c:v>731100</c:v>
                </c:pt>
                <c:pt idx="342">
                  <c:v>734296</c:v>
                </c:pt>
                <c:pt idx="343">
                  <c:v>737238</c:v>
                </c:pt>
                <c:pt idx="344">
                  <c:v>740300</c:v>
                </c:pt>
                <c:pt idx="345">
                  <c:v>740305</c:v>
                </c:pt>
                <c:pt idx="346">
                  <c:v>743304</c:v>
                </c:pt>
                <c:pt idx="347">
                  <c:v>749260</c:v>
                </c:pt>
                <c:pt idx="348">
                  <c:v>749572</c:v>
                </c:pt>
                <c:pt idx="349">
                  <c:v>751030</c:v>
                </c:pt>
                <c:pt idx="350">
                  <c:v>752028</c:v>
                </c:pt>
                <c:pt idx="351">
                  <c:v>752827</c:v>
                </c:pt>
                <c:pt idx="352">
                  <c:v>760603</c:v>
                </c:pt>
                <c:pt idx="353">
                  <c:v>761621</c:v>
                </c:pt>
                <c:pt idx="354">
                  <c:v>761846</c:v>
                </c:pt>
                <c:pt idx="355">
                  <c:v>764808</c:v>
                </c:pt>
                <c:pt idx="356">
                  <c:v>764919</c:v>
                </c:pt>
                <c:pt idx="357">
                  <c:v>765487</c:v>
                </c:pt>
                <c:pt idx="358">
                  <c:v>767001</c:v>
                </c:pt>
                <c:pt idx="359">
                  <c:v>767038</c:v>
                </c:pt>
                <c:pt idx="360">
                  <c:v>768984</c:v>
                </c:pt>
                <c:pt idx="361">
                  <c:v>770075</c:v>
                </c:pt>
                <c:pt idx="362">
                  <c:v>771785</c:v>
                </c:pt>
                <c:pt idx="363">
                  <c:v>772937</c:v>
                </c:pt>
                <c:pt idx="364">
                  <c:v>772989</c:v>
                </c:pt>
                <c:pt idx="365">
                  <c:v>774637</c:v>
                </c:pt>
                <c:pt idx="366">
                  <c:v>775026</c:v>
                </c:pt>
                <c:pt idx="367">
                  <c:v>775874</c:v>
                </c:pt>
                <c:pt idx="368">
                  <c:v>776252</c:v>
                </c:pt>
                <c:pt idx="369">
                  <c:v>779817</c:v>
                </c:pt>
                <c:pt idx="370">
                  <c:v>780768</c:v>
                </c:pt>
                <c:pt idx="371">
                  <c:v>780928</c:v>
                </c:pt>
                <c:pt idx="372">
                  <c:v>784041</c:v>
                </c:pt>
                <c:pt idx="373">
                  <c:v>787015</c:v>
                </c:pt>
                <c:pt idx="374">
                  <c:v>792044</c:v>
                </c:pt>
                <c:pt idx="375">
                  <c:v>792128</c:v>
                </c:pt>
                <c:pt idx="376">
                  <c:v>795373</c:v>
                </c:pt>
                <c:pt idx="377">
                  <c:v>798832</c:v>
                </c:pt>
                <c:pt idx="378">
                  <c:v>801581</c:v>
                </c:pt>
                <c:pt idx="379">
                  <c:v>802444</c:v>
                </c:pt>
                <c:pt idx="380">
                  <c:v>805755</c:v>
                </c:pt>
                <c:pt idx="381">
                  <c:v>806467</c:v>
                </c:pt>
                <c:pt idx="382">
                  <c:v>807933</c:v>
                </c:pt>
                <c:pt idx="383">
                  <c:v>809306</c:v>
                </c:pt>
                <c:pt idx="384">
                  <c:v>812461</c:v>
                </c:pt>
                <c:pt idx="385">
                  <c:v>814098</c:v>
                </c:pt>
                <c:pt idx="386">
                  <c:v>815415</c:v>
                </c:pt>
                <c:pt idx="387">
                  <c:v>817632</c:v>
                </c:pt>
                <c:pt idx="388">
                  <c:v>818431</c:v>
                </c:pt>
                <c:pt idx="389">
                  <c:v>818603</c:v>
                </c:pt>
                <c:pt idx="390">
                  <c:v>820049</c:v>
                </c:pt>
                <c:pt idx="391">
                  <c:v>826365</c:v>
                </c:pt>
                <c:pt idx="392">
                  <c:v>829378</c:v>
                </c:pt>
                <c:pt idx="393">
                  <c:v>833709</c:v>
                </c:pt>
                <c:pt idx="394">
                  <c:v>835355</c:v>
                </c:pt>
                <c:pt idx="395">
                  <c:v>837453</c:v>
                </c:pt>
                <c:pt idx="396">
                  <c:v>840177</c:v>
                </c:pt>
                <c:pt idx="397">
                  <c:v>841087</c:v>
                </c:pt>
                <c:pt idx="398">
                  <c:v>842079</c:v>
                </c:pt>
                <c:pt idx="399">
                  <c:v>842640</c:v>
                </c:pt>
                <c:pt idx="400">
                  <c:v>843102</c:v>
                </c:pt>
                <c:pt idx="401">
                  <c:v>846632</c:v>
                </c:pt>
                <c:pt idx="402">
                  <c:v>850255</c:v>
                </c:pt>
                <c:pt idx="403">
                  <c:v>851257</c:v>
                </c:pt>
                <c:pt idx="404">
                  <c:v>851296</c:v>
                </c:pt>
                <c:pt idx="405">
                  <c:v>853516</c:v>
                </c:pt>
                <c:pt idx="406">
                  <c:v>853995</c:v>
                </c:pt>
                <c:pt idx="407">
                  <c:v>854536</c:v>
                </c:pt>
                <c:pt idx="408">
                  <c:v>855681</c:v>
                </c:pt>
                <c:pt idx="409">
                  <c:v>856677</c:v>
                </c:pt>
                <c:pt idx="410">
                  <c:v>860759</c:v>
                </c:pt>
                <c:pt idx="411">
                  <c:v>861387</c:v>
                </c:pt>
                <c:pt idx="412">
                  <c:v>861891</c:v>
                </c:pt>
                <c:pt idx="413">
                  <c:v>866770</c:v>
                </c:pt>
                <c:pt idx="414">
                  <c:v>866889</c:v>
                </c:pt>
                <c:pt idx="415">
                  <c:v>869806</c:v>
                </c:pt>
                <c:pt idx="416">
                  <c:v>870440</c:v>
                </c:pt>
                <c:pt idx="417">
                  <c:v>870636</c:v>
                </c:pt>
                <c:pt idx="418">
                  <c:v>870934</c:v>
                </c:pt>
                <c:pt idx="419">
                  <c:v>875642</c:v>
                </c:pt>
                <c:pt idx="420">
                  <c:v>876150</c:v>
                </c:pt>
                <c:pt idx="421">
                  <c:v>877399</c:v>
                </c:pt>
                <c:pt idx="422">
                  <c:v>879301</c:v>
                </c:pt>
                <c:pt idx="423">
                  <c:v>879380</c:v>
                </c:pt>
                <c:pt idx="424">
                  <c:v>881741</c:v>
                </c:pt>
                <c:pt idx="425">
                  <c:v>882387</c:v>
                </c:pt>
                <c:pt idx="426">
                  <c:v>882580</c:v>
                </c:pt>
                <c:pt idx="427">
                  <c:v>883947</c:v>
                </c:pt>
                <c:pt idx="428">
                  <c:v>888086</c:v>
                </c:pt>
                <c:pt idx="429">
                  <c:v>888870</c:v>
                </c:pt>
                <c:pt idx="430">
                  <c:v>893415</c:v>
                </c:pt>
                <c:pt idx="431">
                  <c:v>894189</c:v>
                </c:pt>
                <c:pt idx="432">
                  <c:v>894517</c:v>
                </c:pt>
                <c:pt idx="433">
                  <c:v>895736</c:v>
                </c:pt>
                <c:pt idx="434">
                  <c:v>896301</c:v>
                </c:pt>
                <c:pt idx="435">
                  <c:v>897276</c:v>
                </c:pt>
                <c:pt idx="436">
                  <c:v>900676</c:v>
                </c:pt>
                <c:pt idx="437">
                  <c:v>901380</c:v>
                </c:pt>
                <c:pt idx="438">
                  <c:v>903080</c:v>
                </c:pt>
                <c:pt idx="439">
                  <c:v>904317</c:v>
                </c:pt>
                <c:pt idx="440">
                  <c:v>908804</c:v>
                </c:pt>
                <c:pt idx="441">
                  <c:v>910508</c:v>
                </c:pt>
                <c:pt idx="442">
                  <c:v>915152</c:v>
                </c:pt>
                <c:pt idx="443">
                  <c:v>915727</c:v>
                </c:pt>
                <c:pt idx="444">
                  <c:v>916141</c:v>
                </c:pt>
                <c:pt idx="445">
                  <c:v>916524</c:v>
                </c:pt>
                <c:pt idx="446">
                  <c:v>916955</c:v>
                </c:pt>
                <c:pt idx="447">
                  <c:v>923020</c:v>
                </c:pt>
                <c:pt idx="448">
                  <c:v>927818</c:v>
                </c:pt>
                <c:pt idx="449">
                  <c:v>929089</c:v>
                </c:pt>
                <c:pt idx="450">
                  <c:v>930330</c:v>
                </c:pt>
                <c:pt idx="451">
                  <c:v>931835</c:v>
                </c:pt>
                <c:pt idx="452">
                  <c:v>932665</c:v>
                </c:pt>
                <c:pt idx="453">
                  <c:v>934360</c:v>
                </c:pt>
                <c:pt idx="454">
                  <c:v>935158</c:v>
                </c:pt>
                <c:pt idx="455">
                  <c:v>935644</c:v>
                </c:pt>
                <c:pt idx="456">
                  <c:v>937519</c:v>
                </c:pt>
                <c:pt idx="457">
                  <c:v>941406</c:v>
                </c:pt>
                <c:pt idx="458">
                  <c:v>942595</c:v>
                </c:pt>
                <c:pt idx="459">
                  <c:v>943899</c:v>
                </c:pt>
                <c:pt idx="460">
                  <c:v>944525</c:v>
                </c:pt>
                <c:pt idx="461">
                  <c:v>945035</c:v>
                </c:pt>
                <c:pt idx="462">
                  <c:v>945657</c:v>
                </c:pt>
                <c:pt idx="463">
                  <c:v>945986</c:v>
                </c:pt>
                <c:pt idx="464">
                  <c:v>946247</c:v>
                </c:pt>
                <c:pt idx="465">
                  <c:v>946300</c:v>
                </c:pt>
                <c:pt idx="466">
                  <c:v>946700</c:v>
                </c:pt>
                <c:pt idx="467">
                  <c:v>948408</c:v>
                </c:pt>
                <c:pt idx="468">
                  <c:v>953804</c:v>
                </c:pt>
                <c:pt idx="469">
                  <c:v>954780</c:v>
                </c:pt>
                <c:pt idx="470">
                  <c:v>955248</c:v>
                </c:pt>
                <c:pt idx="471">
                  <c:v>955961</c:v>
                </c:pt>
                <c:pt idx="472">
                  <c:v>957981</c:v>
                </c:pt>
                <c:pt idx="473">
                  <c:v>959323</c:v>
                </c:pt>
                <c:pt idx="474">
                  <c:v>961459</c:v>
                </c:pt>
                <c:pt idx="475">
                  <c:v>962182</c:v>
                </c:pt>
                <c:pt idx="476">
                  <c:v>964477</c:v>
                </c:pt>
                <c:pt idx="477">
                  <c:v>965955</c:v>
                </c:pt>
                <c:pt idx="478">
                  <c:v>969262</c:v>
                </c:pt>
                <c:pt idx="479">
                  <c:v>969821</c:v>
                </c:pt>
                <c:pt idx="480">
                  <c:v>970064</c:v>
                </c:pt>
                <c:pt idx="481">
                  <c:v>973241</c:v>
                </c:pt>
                <c:pt idx="482">
                  <c:v>973339</c:v>
                </c:pt>
                <c:pt idx="483">
                  <c:v>975319</c:v>
                </c:pt>
                <c:pt idx="484">
                  <c:v>977193</c:v>
                </c:pt>
                <c:pt idx="485">
                  <c:v>978283</c:v>
                </c:pt>
                <c:pt idx="486">
                  <c:v>978548</c:v>
                </c:pt>
                <c:pt idx="487">
                  <c:v>980642</c:v>
                </c:pt>
                <c:pt idx="488">
                  <c:v>981665</c:v>
                </c:pt>
                <c:pt idx="489">
                  <c:v>981915</c:v>
                </c:pt>
                <c:pt idx="490">
                  <c:v>982731</c:v>
                </c:pt>
                <c:pt idx="491">
                  <c:v>985381</c:v>
                </c:pt>
                <c:pt idx="492">
                  <c:v>987879</c:v>
                </c:pt>
                <c:pt idx="493">
                  <c:v>989374</c:v>
                </c:pt>
                <c:pt idx="494">
                  <c:v>989898</c:v>
                </c:pt>
                <c:pt idx="495">
                  <c:v>990194</c:v>
                </c:pt>
                <c:pt idx="496">
                  <c:v>990243</c:v>
                </c:pt>
                <c:pt idx="497">
                  <c:v>994371</c:v>
                </c:pt>
                <c:pt idx="498">
                  <c:v>995453</c:v>
                </c:pt>
                <c:pt idx="499">
                  <c:v>999369</c:v>
                </c:pt>
              </c:strCache>
            </c:strRef>
          </c:cat>
          <c:val>
            <c:numRef>
              <c:f>'Analysis 3'!$C$18:$C$518</c:f>
              <c:numCache>
                <c:formatCode>General</c:formatCode>
                <c:ptCount val="5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numCache>
            </c:numRef>
          </c:val>
          <c:extLst>
            <c:ext xmlns:c16="http://schemas.microsoft.com/office/drawing/2014/chart" uri="{C3380CC4-5D6E-409C-BE32-E72D297353CC}">
              <c16:uniqueId val="{00000000-FF85-49B9-86A7-8FC5D2038ACC}"/>
            </c:ext>
          </c:extLst>
        </c:ser>
        <c:dLbls>
          <c:showLegendKey val="0"/>
          <c:showVal val="0"/>
          <c:showCatName val="0"/>
          <c:showSerName val="0"/>
          <c:showPercent val="0"/>
          <c:showBubbleSize val="0"/>
        </c:dLbls>
        <c:gapWidth val="182"/>
        <c:axId val="1893496320"/>
        <c:axId val="1210899824"/>
      </c:barChart>
      <c:catAx>
        <c:axId val="189349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210899824"/>
        <c:crosses val="autoZero"/>
        <c:auto val="1"/>
        <c:lblAlgn val="ctr"/>
        <c:lblOffset val="100"/>
        <c:noMultiLvlLbl val="0"/>
      </c:catAx>
      <c:valAx>
        <c:axId val="121089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89349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85000"/>
      </a:schemeClr>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[Indian_Banking_data.xlsx]Analysis 2!PivotTable5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2'!$L$14:$L$15</c:f>
              <c:strCache>
                <c:ptCount val="1"/>
                <c:pt idx="0">
                  <c:v>No</c:v>
                </c:pt>
              </c:strCache>
            </c:strRef>
          </c:tx>
          <c:spPr>
            <a:solidFill>
              <a:schemeClr val="accent4"/>
            </a:solidFill>
            <a:ln>
              <a:noFill/>
            </a:ln>
            <a:effectLst/>
          </c:spPr>
          <c:invertIfNegative val="0"/>
          <c:cat>
            <c:strRef>
              <c:f>'Analysis 2'!$K$16:$K$41</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'Analysis 2'!$L$16:$L$41</c:f>
              <c:numCache>
                <c:formatCode>General</c:formatCode>
                <c:ptCount val="25"/>
                <c:pt idx="0">
                  <c:v>26</c:v>
                </c:pt>
                <c:pt idx="1">
                  <c:v>20</c:v>
                </c:pt>
                <c:pt idx="2">
                  <c:v>15</c:v>
                </c:pt>
                <c:pt idx="3">
                  <c:v>20</c:v>
                </c:pt>
                <c:pt idx="4">
                  <c:v>20</c:v>
                </c:pt>
                <c:pt idx="5">
                  <c:v>23</c:v>
                </c:pt>
                <c:pt idx="6">
                  <c:v>27</c:v>
                </c:pt>
                <c:pt idx="7">
                  <c:v>17</c:v>
                </c:pt>
                <c:pt idx="8">
                  <c:v>21</c:v>
                </c:pt>
                <c:pt idx="9">
                  <c:v>21</c:v>
                </c:pt>
                <c:pt idx="10">
                  <c:v>18</c:v>
                </c:pt>
                <c:pt idx="11">
                  <c:v>19</c:v>
                </c:pt>
                <c:pt idx="12">
                  <c:v>28</c:v>
                </c:pt>
                <c:pt idx="13">
                  <c:v>15</c:v>
                </c:pt>
                <c:pt idx="14">
                  <c:v>21</c:v>
                </c:pt>
                <c:pt idx="15">
                  <c:v>16</c:v>
                </c:pt>
                <c:pt idx="16">
                  <c:v>19</c:v>
                </c:pt>
                <c:pt idx="17">
                  <c:v>21</c:v>
                </c:pt>
                <c:pt idx="18">
                  <c:v>12</c:v>
                </c:pt>
                <c:pt idx="19">
                  <c:v>21</c:v>
                </c:pt>
                <c:pt idx="20">
                  <c:v>17</c:v>
                </c:pt>
                <c:pt idx="21">
                  <c:v>20</c:v>
                </c:pt>
                <c:pt idx="22">
                  <c:v>15</c:v>
                </c:pt>
                <c:pt idx="23">
                  <c:v>14</c:v>
                </c:pt>
                <c:pt idx="24">
                  <c:v>21</c:v>
                </c:pt>
              </c:numCache>
            </c:numRef>
          </c:val>
          <c:extLst>
            <c:ext xmlns:c16="http://schemas.microsoft.com/office/drawing/2014/chart" uri="{C3380CC4-5D6E-409C-BE32-E72D297353CC}">
              <c16:uniqueId val="{00000000-3B51-4D91-A587-A206BF0CDE3B}"/>
            </c:ext>
          </c:extLst>
        </c:ser>
        <c:ser>
          <c:idx val="1"/>
          <c:order val="1"/>
          <c:tx>
            <c:strRef>
              <c:f>'Analysis 2'!$M$14:$M$15</c:f>
              <c:strCache>
                <c:ptCount val="1"/>
                <c:pt idx="0">
                  <c:v>Yes</c:v>
                </c:pt>
              </c:strCache>
            </c:strRef>
          </c:tx>
          <c:spPr>
            <a:solidFill>
              <a:schemeClr val="accent2"/>
            </a:solidFill>
            <a:ln>
              <a:noFill/>
            </a:ln>
            <a:effectLst/>
          </c:spPr>
          <c:invertIfNegative val="0"/>
          <c:cat>
            <c:strRef>
              <c:f>'Analysis 2'!$K$16:$K$41</c:f>
              <c:strCache>
                <c:ptCount val="25"/>
                <c:pt idx="0">
                  <c:v>Ahmedabad Branch</c:v>
                </c:pt>
                <c:pt idx="1">
                  <c:v>Amritsar Branch</c:v>
                </c:pt>
                <c:pt idx="2">
                  <c:v>Bangalore Branch</c:v>
                </c:pt>
                <c:pt idx="3">
                  <c:v>Bhopal Branch</c:v>
                </c:pt>
                <c:pt idx="4">
                  <c:v>Bhubaneswar Branch</c:v>
                </c:pt>
                <c:pt idx="5">
                  <c:v>Chandigarh Branch</c:v>
                </c:pt>
                <c:pt idx="6">
                  <c:v>Chennai Branch</c:v>
                </c:pt>
                <c:pt idx="7">
                  <c:v>Coimbatore Branch</c:v>
                </c:pt>
                <c:pt idx="8">
                  <c:v>Delhi Branch</c:v>
                </c:pt>
                <c:pt idx="9">
                  <c:v>Guwahati Branch</c:v>
                </c:pt>
                <c:pt idx="10">
                  <c:v>Gwalior Branch</c:v>
                </c:pt>
                <c:pt idx="11">
                  <c:v>Hyderabad Branch</c:v>
                </c:pt>
                <c:pt idx="12">
                  <c:v>Indore Branch</c:v>
                </c:pt>
                <c:pt idx="13">
                  <c:v>Jabalpur Branch</c:v>
                </c:pt>
                <c:pt idx="14">
                  <c:v>Jaipur Branch</c:v>
                </c:pt>
                <c:pt idx="15">
                  <c:v>Kochi Branch</c:v>
                </c:pt>
                <c:pt idx="16">
                  <c:v>Kolkata Branch</c:v>
                </c:pt>
                <c:pt idx="17">
                  <c:v>Lucknow Branch</c:v>
                </c:pt>
                <c:pt idx="18">
                  <c:v>Mumbai Branch</c:v>
                </c:pt>
                <c:pt idx="19">
                  <c:v>Nagpur Branch</c:v>
                </c:pt>
                <c:pt idx="20">
                  <c:v>Patna Branch</c:v>
                </c:pt>
                <c:pt idx="21">
                  <c:v>Pune Branch</c:v>
                </c:pt>
                <c:pt idx="22">
                  <c:v>Raipur Branch</c:v>
                </c:pt>
                <c:pt idx="23">
                  <c:v>Ranchi Branch</c:v>
                </c:pt>
                <c:pt idx="24">
                  <c:v>Surat Branch</c:v>
                </c:pt>
              </c:strCache>
            </c:strRef>
          </c:cat>
          <c:val>
            <c:numRef>
              <c:f>'Analysis 2'!$M$16:$M$41</c:f>
              <c:numCache>
                <c:formatCode>General</c:formatCode>
                <c:ptCount val="25"/>
                <c:pt idx="2">
                  <c:v>2</c:v>
                </c:pt>
                <c:pt idx="4">
                  <c:v>2</c:v>
                </c:pt>
                <c:pt idx="6">
                  <c:v>1</c:v>
                </c:pt>
                <c:pt idx="8">
                  <c:v>1</c:v>
                </c:pt>
                <c:pt idx="9">
                  <c:v>1</c:v>
                </c:pt>
                <c:pt idx="10">
                  <c:v>1</c:v>
                </c:pt>
                <c:pt idx="13">
                  <c:v>1</c:v>
                </c:pt>
                <c:pt idx="14">
                  <c:v>1</c:v>
                </c:pt>
                <c:pt idx="17">
                  <c:v>2</c:v>
                </c:pt>
                <c:pt idx="19">
                  <c:v>1</c:v>
                </c:pt>
              </c:numCache>
            </c:numRef>
          </c:val>
          <c:extLst>
            <c:ext xmlns:c16="http://schemas.microsoft.com/office/drawing/2014/chart" uri="{C3380CC4-5D6E-409C-BE32-E72D297353CC}">
              <c16:uniqueId val="{00000001-3B51-4D91-A587-A206BF0CDE3B}"/>
            </c:ext>
          </c:extLst>
        </c:ser>
        <c:dLbls>
          <c:showLegendKey val="0"/>
          <c:showVal val="0"/>
          <c:showCatName val="0"/>
          <c:showSerName val="0"/>
          <c:showPercent val="0"/>
          <c:showBubbleSize val="0"/>
        </c:dLbls>
        <c:gapWidth val="182"/>
        <c:axId val="967476591"/>
        <c:axId val="1660483183"/>
      </c:barChart>
      <c:catAx>
        <c:axId val="967476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483183"/>
        <c:crosses val="autoZero"/>
        <c:auto val="1"/>
        <c:lblAlgn val="ctr"/>
        <c:lblOffset val="100"/>
        <c:noMultiLvlLbl val="0"/>
      </c:catAx>
      <c:valAx>
        <c:axId val="1660483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47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2</xdr:col>
      <xdr:colOff>90715</xdr:colOff>
      <xdr:row>4</xdr:row>
      <xdr:rowOff>55756</xdr:rowOff>
    </xdr:from>
    <xdr:ext cx="31750000" cy="1393902"/>
    <xdr:sp macro="" textlink="">
      <xdr:nvSpPr>
        <xdr:cNvPr id="4" name="TextBox 3">
          <a:extLst>
            <a:ext uri="{FF2B5EF4-FFF2-40B4-BE49-F238E27FC236}">
              <a16:creationId xmlns:a16="http://schemas.microsoft.com/office/drawing/2014/main" id="{BBC7E648-0E7D-4FA2-2882-6AFB3C7C4F2A}"/>
            </a:ext>
          </a:extLst>
        </xdr:cNvPr>
        <xdr:cNvSpPr txBox="1"/>
      </xdr:nvSpPr>
      <xdr:spPr>
        <a:xfrm>
          <a:off x="1317349" y="799171"/>
          <a:ext cx="31750000" cy="1393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7200"/>
            <a:t>Revenue</a:t>
          </a:r>
          <a:r>
            <a:rPr lang="en-US" sz="7200" baseline="0"/>
            <a:t> &amp;</a:t>
          </a:r>
          <a:r>
            <a:rPr lang="en-US" sz="7200"/>
            <a:t> Transactions Analysis</a:t>
          </a:r>
        </a:p>
        <a:p>
          <a:pPr algn="l"/>
          <a:endParaRPr lang="en-US" sz="1100"/>
        </a:p>
      </xdr:txBody>
    </xdr:sp>
    <xdr:clientData/>
  </xdr:oneCellAnchor>
  <xdr:twoCellAnchor>
    <xdr:from>
      <xdr:col>0</xdr:col>
      <xdr:colOff>356698</xdr:colOff>
      <xdr:row>20</xdr:row>
      <xdr:rowOff>48404</xdr:rowOff>
    </xdr:from>
    <xdr:to>
      <xdr:col>11</xdr:col>
      <xdr:colOff>464192</xdr:colOff>
      <xdr:row>54</xdr:row>
      <xdr:rowOff>92483</xdr:rowOff>
    </xdr:to>
    <xdr:graphicFrame macro="">
      <xdr:nvGraphicFramePr>
        <xdr:cNvPr id="3" name="Chart 2">
          <a:extLst>
            <a:ext uri="{FF2B5EF4-FFF2-40B4-BE49-F238E27FC236}">
              <a16:creationId xmlns:a16="http://schemas.microsoft.com/office/drawing/2014/main" id="{3F1C90C0-A835-47DC-9DEF-CD25D66B2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194676</xdr:colOff>
      <xdr:row>20</xdr:row>
      <xdr:rowOff>83738</xdr:rowOff>
    </xdr:from>
    <xdr:to>
      <xdr:col>25</xdr:col>
      <xdr:colOff>142425</xdr:colOff>
      <xdr:row>56</xdr:row>
      <xdr:rowOff>71244</xdr:rowOff>
    </xdr:to>
    <xdr:graphicFrame macro="">
      <xdr:nvGraphicFramePr>
        <xdr:cNvPr id="5" name="Chart 4">
          <a:extLst>
            <a:ext uri="{FF2B5EF4-FFF2-40B4-BE49-F238E27FC236}">
              <a16:creationId xmlns:a16="http://schemas.microsoft.com/office/drawing/2014/main" id="{5324910A-1B1D-4E86-8043-51188286A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402572</xdr:colOff>
      <xdr:row>20</xdr:row>
      <xdr:rowOff>115590</xdr:rowOff>
    </xdr:from>
    <xdr:to>
      <xdr:col>36</xdr:col>
      <xdr:colOff>219484</xdr:colOff>
      <xdr:row>55</xdr:row>
      <xdr:rowOff>148682</xdr:rowOff>
    </xdr:to>
    <xdr:graphicFrame macro="">
      <xdr:nvGraphicFramePr>
        <xdr:cNvPr id="6" name="Chart 5">
          <a:extLst>
            <a:ext uri="{FF2B5EF4-FFF2-40B4-BE49-F238E27FC236}">
              <a16:creationId xmlns:a16="http://schemas.microsoft.com/office/drawing/2014/main" id="{36236358-E995-411D-8D23-A8827CBE5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312066</xdr:colOff>
      <xdr:row>58</xdr:row>
      <xdr:rowOff>51774</xdr:rowOff>
    </xdr:from>
    <xdr:to>
      <xdr:col>27</xdr:col>
      <xdr:colOff>610217</xdr:colOff>
      <xdr:row>87</xdr:row>
      <xdr:rowOff>92485</xdr:rowOff>
    </xdr:to>
    <xdr:graphicFrame macro="">
      <xdr:nvGraphicFramePr>
        <xdr:cNvPr id="7" name="Chart 6">
          <a:extLst>
            <a:ext uri="{FF2B5EF4-FFF2-40B4-BE49-F238E27FC236}">
              <a16:creationId xmlns:a16="http://schemas.microsoft.com/office/drawing/2014/main" id="{5773C604-B644-468C-801E-2A8A9EA847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144258</xdr:colOff>
      <xdr:row>56</xdr:row>
      <xdr:rowOff>35842</xdr:rowOff>
    </xdr:from>
    <xdr:to>
      <xdr:col>12</xdr:col>
      <xdr:colOff>53543</xdr:colOff>
      <xdr:row>84</xdr:row>
      <xdr:rowOff>167267</xdr:rowOff>
    </xdr:to>
    <xdr:graphicFrame macro="">
      <xdr:nvGraphicFramePr>
        <xdr:cNvPr id="8" name="Chart 7">
          <a:extLst>
            <a:ext uri="{FF2B5EF4-FFF2-40B4-BE49-F238E27FC236}">
              <a16:creationId xmlns:a16="http://schemas.microsoft.com/office/drawing/2014/main" id="{7F2F4B9F-9E35-4B74-92AC-D2B5356DF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134967</xdr:colOff>
      <xdr:row>57</xdr:row>
      <xdr:rowOff>88944</xdr:rowOff>
    </xdr:from>
    <xdr:to>
      <xdr:col>45</xdr:col>
      <xdr:colOff>62396</xdr:colOff>
      <xdr:row>88</xdr:row>
      <xdr:rowOff>88945</xdr:rowOff>
    </xdr:to>
    <xdr:graphicFrame macro="">
      <xdr:nvGraphicFramePr>
        <xdr:cNvPr id="10" name="Chart 9">
          <a:extLst>
            <a:ext uri="{FF2B5EF4-FFF2-40B4-BE49-F238E27FC236}">
              <a16:creationId xmlns:a16="http://schemas.microsoft.com/office/drawing/2014/main" id="{20FFDB03-9E0D-4C69-B1B7-9633F8922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36</xdr:col>
      <xdr:colOff>467156</xdr:colOff>
      <xdr:row>20</xdr:row>
      <xdr:rowOff>145142</xdr:rowOff>
    </xdr:from>
    <xdr:to>
      <xdr:col>42</xdr:col>
      <xdr:colOff>483219</xdr:colOff>
      <xdr:row>54</xdr:row>
      <xdr:rowOff>148682</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79FBD7AB-3579-75BE-4855-7DA7663065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546572" y="3862215"/>
              <a:ext cx="3162742" cy="6322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92926</xdr:colOff>
      <xdr:row>20</xdr:row>
      <xdr:rowOff>74340</xdr:rowOff>
    </xdr:from>
    <xdr:to>
      <xdr:col>49</xdr:col>
      <xdr:colOff>371706</xdr:colOff>
      <xdr:row>53</xdr:row>
      <xdr:rowOff>92926</xdr:rowOff>
    </xdr:to>
    <mc:AlternateContent xmlns:mc="http://schemas.openxmlformats.org/markup-compatibility/2006" xmlns:a14="http://schemas.microsoft.com/office/drawing/2010/main">
      <mc:Choice Requires="a14">
        <xdr:graphicFrame macro="">
          <xdr:nvGraphicFramePr>
            <xdr:cNvPr id="27" name="Branch Name">
              <a:extLst>
                <a:ext uri="{FF2B5EF4-FFF2-40B4-BE49-F238E27FC236}">
                  <a16:creationId xmlns:a16="http://schemas.microsoft.com/office/drawing/2014/main" id="{0062F8C7-B7C3-E8F3-1529-59EACEBD549E}"/>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mlns="">
        <xdr:sp macro="" textlink="">
          <xdr:nvSpPr>
            <xdr:cNvPr id="0" name=""/>
            <xdr:cNvSpPr>
              <a:spLocks noTextEdit="1"/>
            </xdr:cNvSpPr>
          </xdr:nvSpPr>
          <xdr:spPr>
            <a:xfrm>
              <a:off x="26465560" y="3791413"/>
              <a:ext cx="3958683" cy="6151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260195</xdr:colOff>
      <xdr:row>54</xdr:row>
      <xdr:rowOff>55756</xdr:rowOff>
    </xdr:from>
    <xdr:to>
      <xdr:col>52</xdr:col>
      <xdr:colOff>348255</xdr:colOff>
      <xdr:row>88</xdr:row>
      <xdr:rowOff>18585</xdr:rowOff>
    </xdr:to>
    <mc:AlternateContent xmlns:mc="http://schemas.openxmlformats.org/markup-compatibility/2006" xmlns:a14="http://schemas.microsoft.com/office/drawing/2010/main">
      <mc:Choice Requires="a14">
        <xdr:graphicFrame macro="">
          <xdr:nvGraphicFramePr>
            <xdr:cNvPr id="28" name="Transaction Type">
              <a:extLst>
                <a:ext uri="{FF2B5EF4-FFF2-40B4-BE49-F238E27FC236}">
                  <a16:creationId xmlns:a16="http://schemas.microsoft.com/office/drawing/2014/main" id="{64217CEA-AAF1-52F5-7C90-30590FA786A6}"/>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27859463" y="10091854"/>
              <a:ext cx="4381280" cy="6467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145587</xdr:colOff>
      <xdr:row>20</xdr:row>
      <xdr:rowOff>130098</xdr:rowOff>
    </xdr:from>
    <xdr:to>
      <xdr:col>57</xdr:col>
      <xdr:colOff>37170</xdr:colOff>
      <xdr:row>53</xdr:row>
      <xdr:rowOff>111512</xdr:rowOff>
    </xdr:to>
    <mc:AlternateContent xmlns:mc="http://schemas.openxmlformats.org/markup-compatibility/2006" xmlns:a14="http://schemas.microsoft.com/office/drawing/2010/main">
      <mc:Choice Requires="a14">
        <xdr:graphicFrame macro="">
          <xdr:nvGraphicFramePr>
            <xdr:cNvPr id="29" name="Account Type">
              <a:extLst>
                <a:ext uri="{FF2B5EF4-FFF2-40B4-BE49-F238E27FC236}">
                  <a16:creationId xmlns:a16="http://schemas.microsoft.com/office/drawing/2014/main" id="{DD1B8F8A-0EDE-D571-B881-478C6D0D6E22}"/>
                </a:ext>
              </a:extLst>
            </xdr:cNvPr>
            <xdr:cNvGraphicFramePr/>
          </xdr:nvGraphicFramePr>
          <xdr:xfrm>
            <a:off x="0" y="0"/>
            <a:ext cx="0" cy="0"/>
          </xdr:xfrm>
          <a:graphic>
            <a:graphicData uri="http://schemas.microsoft.com/office/drawing/2010/slicer">
              <sle:slicer xmlns:sle="http://schemas.microsoft.com/office/drawing/2010/slicer" name="Account Type"/>
            </a:graphicData>
          </a:graphic>
        </xdr:graphicFrame>
      </mc:Choice>
      <mc:Fallback xmlns="">
        <xdr:sp macro="" textlink="">
          <xdr:nvSpPr>
            <xdr:cNvPr id="0" name=""/>
            <xdr:cNvSpPr>
              <a:spLocks noTextEdit="1"/>
            </xdr:cNvSpPr>
          </xdr:nvSpPr>
          <xdr:spPr>
            <a:xfrm>
              <a:off x="30811441" y="3847171"/>
              <a:ext cx="4184802" cy="6114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43</xdr:col>
      <xdr:colOff>204439</xdr:colOff>
      <xdr:row>6</xdr:row>
      <xdr:rowOff>37170</xdr:rowOff>
    </xdr:from>
    <xdr:ext cx="3252439" cy="593304"/>
    <xdr:sp macro="" textlink="">
      <xdr:nvSpPr>
        <xdr:cNvPr id="30" name="TextBox 29">
          <a:extLst>
            <a:ext uri="{FF2B5EF4-FFF2-40B4-BE49-F238E27FC236}">
              <a16:creationId xmlns:a16="http://schemas.microsoft.com/office/drawing/2014/main" id="{DC0E4877-502A-429C-0E02-2BBA4BF662E5}"/>
            </a:ext>
          </a:extLst>
        </xdr:cNvPr>
        <xdr:cNvSpPr txBox="1"/>
      </xdr:nvSpPr>
      <xdr:spPr>
        <a:xfrm>
          <a:off x="26577073" y="1152292"/>
          <a:ext cx="3252439"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3200"/>
        </a:p>
      </xdr:txBody>
    </xdr:sp>
    <xdr:clientData/>
  </xdr:oneCellAnchor>
  <xdr:twoCellAnchor>
    <xdr:from>
      <xdr:col>4</xdr:col>
      <xdr:colOff>594732</xdr:colOff>
      <xdr:row>11</xdr:row>
      <xdr:rowOff>37172</xdr:rowOff>
    </xdr:from>
    <xdr:to>
      <xdr:col>17</xdr:col>
      <xdr:colOff>483220</xdr:colOff>
      <xdr:row>18</xdr:row>
      <xdr:rowOff>55756</xdr:rowOff>
    </xdr:to>
    <xdr:sp macro="" textlink="">
      <xdr:nvSpPr>
        <xdr:cNvPr id="33" name="Rectangle 32">
          <a:extLst>
            <a:ext uri="{FF2B5EF4-FFF2-40B4-BE49-F238E27FC236}">
              <a16:creationId xmlns:a16="http://schemas.microsoft.com/office/drawing/2014/main" id="{C69FB10F-F8AA-0B79-AD43-BDEFF49A1144}"/>
            </a:ext>
          </a:extLst>
        </xdr:cNvPr>
        <xdr:cNvSpPr/>
      </xdr:nvSpPr>
      <xdr:spPr>
        <a:xfrm>
          <a:off x="3048000" y="2081562"/>
          <a:ext cx="7861610" cy="1319560"/>
        </a:xfrm>
        <a:prstGeom prst="rect">
          <a:avLst/>
        </a:prstGeom>
        <a:solidFill>
          <a:schemeClr val="bg1">
            <a:lumMod val="85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a:t>500</a:t>
          </a:r>
          <a:r>
            <a:rPr lang="en-US" sz="3200" baseline="0"/>
            <a:t> Transactions</a:t>
          </a:r>
          <a:endParaRPr lang="en-US" sz="3200"/>
        </a:p>
      </xdr:txBody>
    </xdr:sp>
    <xdr:clientData/>
  </xdr:twoCellAnchor>
  <xdr:twoCellAnchor>
    <xdr:from>
      <xdr:col>17</xdr:col>
      <xdr:colOff>557562</xdr:colOff>
      <xdr:row>11</xdr:row>
      <xdr:rowOff>37171</xdr:rowOff>
    </xdr:from>
    <xdr:to>
      <xdr:col>35</xdr:col>
      <xdr:colOff>185854</xdr:colOff>
      <xdr:row>18</xdr:row>
      <xdr:rowOff>92927</xdr:rowOff>
    </xdr:to>
    <xdr:sp macro="" textlink="">
      <xdr:nvSpPr>
        <xdr:cNvPr id="35" name="Rectangle 34">
          <a:extLst>
            <a:ext uri="{FF2B5EF4-FFF2-40B4-BE49-F238E27FC236}">
              <a16:creationId xmlns:a16="http://schemas.microsoft.com/office/drawing/2014/main" id="{8E245A04-5433-1FD9-6281-C58AA62AD1CF}"/>
            </a:ext>
          </a:extLst>
        </xdr:cNvPr>
        <xdr:cNvSpPr/>
      </xdr:nvSpPr>
      <xdr:spPr>
        <a:xfrm>
          <a:off x="10983952" y="2081561"/>
          <a:ext cx="10668000" cy="1356732"/>
        </a:xfrm>
        <a:prstGeom prst="rect">
          <a:avLst/>
        </a:prstGeom>
        <a:solidFill>
          <a:schemeClr val="bg1">
            <a:lumMod val="85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a:t>9.39</a:t>
          </a:r>
          <a:r>
            <a:rPr lang="en-US" sz="3200" baseline="0"/>
            <a:t> cr Amount</a:t>
          </a:r>
          <a:endParaRPr lang="en-US" sz="3200"/>
        </a:p>
      </xdr:txBody>
    </xdr:sp>
    <xdr:clientData/>
  </xdr:twoCellAnchor>
  <xdr:twoCellAnchor>
    <xdr:from>
      <xdr:col>35</xdr:col>
      <xdr:colOff>278780</xdr:colOff>
      <xdr:row>11</xdr:row>
      <xdr:rowOff>18584</xdr:rowOff>
    </xdr:from>
    <xdr:to>
      <xdr:col>51</xdr:col>
      <xdr:colOff>111511</xdr:colOff>
      <xdr:row>18</xdr:row>
      <xdr:rowOff>111512</xdr:rowOff>
    </xdr:to>
    <xdr:sp macro="" textlink="">
      <xdr:nvSpPr>
        <xdr:cNvPr id="36" name="Rectangle 35">
          <a:extLst>
            <a:ext uri="{FF2B5EF4-FFF2-40B4-BE49-F238E27FC236}">
              <a16:creationId xmlns:a16="http://schemas.microsoft.com/office/drawing/2014/main" id="{45DB8962-E153-375D-1DFE-8F78376D13C2}"/>
            </a:ext>
          </a:extLst>
        </xdr:cNvPr>
        <xdr:cNvSpPr/>
      </xdr:nvSpPr>
      <xdr:spPr>
        <a:xfrm>
          <a:off x="21744878" y="2062974"/>
          <a:ext cx="9645804" cy="1393904"/>
        </a:xfrm>
        <a:prstGeom prst="rect">
          <a:avLst/>
        </a:prstGeom>
        <a:solidFill>
          <a:schemeClr val="bg1">
            <a:lumMod val="85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a:t>North</a:t>
          </a:r>
          <a:r>
            <a:rPr lang="en-US" sz="3200" baseline="0"/>
            <a:t> Highest Range</a:t>
          </a:r>
          <a:endParaRPr lang="en-US" sz="3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557561</xdr:colOff>
      <xdr:row>20</xdr:row>
      <xdr:rowOff>18586</xdr:rowOff>
    </xdr:from>
    <xdr:to>
      <xdr:col>13</xdr:col>
      <xdr:colOff>46463</xdr:colOff>
      <xdr:row>51</xdr:row>
      <xdr:rowOff>45720</xdr:rowOff>
    </xdr:to>
    <xdr:graphicFrame macro="">
      <xdr:nvGraphicFramePr>
        <xdr:cNvPr id="2" name="Chart 1">
          <a:extLst>
            <a:ext uri="{FF2B5EF4-FFF2-40B4-BE49-F238E27FC236}">
              <a16:creationId xmlns:a16="http://schemas.microsoft.com/office/drawing/2014/main" id="{0E2D2D4A-AE1F-4580-8B17-34B4F6B77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389735</xdr:colOff>
      <xdr:row>20</xdr:row>
      <xdr:rowOff>88094</xdr:rowOff>
    </xdr:from>
    <xdr:to>
      <xdr:col>27</xdr:col>
      <xdr:colOff>104078</xdr:colOff>
      <xdr:row>50</xdr:row>
      <xdr:rowOff>149054</xdr:rowOff>
    </xdr:to>
    <xdr:graphicFrame macro="">
      <xdr:nvGraphicFramePr>
        <xdr:cNvPr id="6" name="Chart 5">
          <a:extLst>
            <a:ext uri="{FF2B5EF4-FFF2-40B4-BE49-F238E27FC236}">
              <a16:creationId xmlns:a16="http://schemas.microsoft.com/office/drawing/2014/main" id="{74A4D771-D39D-444A-8FF7-37D866825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18585</xdr:colOff>
      <xdr:row>52</xdr:row>
      <xdr:rowOff>18586</xdr:rowOff>
    </xdr:from>
    <xdr:to>
      <xdr:col>18</xdr:col>
      <xdr:colOff>590271</xdr:colOff>
      <xdr:row>84</xdr:row>
      <xdr:rowOff>0</xdr:rowOff>
    </xdr:to>
    <xdr:graphicFrame macro="">
      <xdr:nvGraphicFramePr>
        <xdr:cNvPr id="8" name="Chart 7">
          <a:extLst>
            <a:ext uri="{FF2B5EF4-FFF2-40B4-BE49-F238E27FC236}">
              <a16:creationId xmlns:a16="http://schemas.microsoft.com/office/drawing/2014/main" id="{6E816DA8-249E-441E-9EA1-5482C4CB4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241610</xdr:colOff>
      <xdr:row>52</xdr:row>
      <xdr:rowOff>111512</xdr:rowOff>
    </xdr:from>
    <xdr:to>
      <xdr:col>37</xdr:col>
      <xdr:colOff>111511</xdr:colOff>
      <xdr:row>84</xdr:row>
      <xdr:rowOff>18586</xdr:rowOff>
    </xdr:to>
    <xdr:graphicFrame macro="">
      <xdr:nvGraphicFramePr>
        <xdr:cNvPr id="10" name="Chart 9">
          <a:extLst>
            <a:ext uri="{FF2B5EF4-FFF2-40B4-BE49-F238E27FC236}">
              <a16:creationId xmlns:a16="http://schemas.microsoft.com/office/drawing/2014/main" id="{741938FA-5624-4478-8C47-B2A286885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426720</xdr:colOff>
      <xdr:row>2</xdr:row>
      <xdr:rowOff>76200</xdr:rowOff>
    </xdr:from>
    <xdr:ext cx="32636646" cy="1219436"/>
    <xdr:sp macro="" textlink="">
      <xdr:nvSpPr>
        <xdr:cNvPr id="11" name="TextBox 10">
          <a:extLst>
            <a:ext uri="{FF2B5EF4-FFF2-40B4-BE49-F238E27FC236}">
              <a16:creationId xmlns:a16="http://schemas.microsoft.com/office/drawing/2014/main" id="{CBDCD839-B6AD-8B8C-961C-8F8386145E6C}"/>
            </a:ext>
          </a:extLst>
        </xdr:cNvPr>
        <xdr:cNvSpPr txBox="1"/>
      </xdr:nvSpPr>
      <xdr:spPr>
        <a:xfrm>
          <a:off x="1040037" y="447907"/>
          <a:ext cx="32636646" cy="1219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7200"/>
            <a:t>Fraud &amp; Customer Analysis</a:t>
          </a:r>
        </a:p>
      </xdr:txBody>
    </xdr:sp>
    <xdr:clientData/>
  </xdr:oneCellAnchor>
  <xdr:twoCellAnchor>
    <xdr:from>
      <xdr:col>27</xdr:col>
      <xdr:colOff>390293</xdr:colOff>
      <xdr:row>20</xdr:row>
      <xdr:rowOff>37172</xdr:rowOff>
    </xdr:from>
    <xdr:to>
      <xdr:col>43</xdr:col>
      <xdr:colOff>520390</xdr:colOff>
      <xdr:row>51</xdr:row>
      <xdr:rowOff>37170</xdr:rowOff>
    </xdr:to>
    <xdr:graphicFrame macro="">
      <xdr:nvGraphicFramePr>
        <xdr:cNvPr id="13" name="Chart 12">
          <a:extLst>
            <a:ext uri="{FF2B5EF4-FFF2-40B4-BE49-F238E27FC236}">
              <a16:creationId xmlns:a16="http://schemas.microsoft.com/office/drawing/2014/main" id="{DA93CB45-4677-4B81-87F3-C8DA756A5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44</xdr:col>
      <xdr:colOff>183993</xdr:colOff>
      <xdr:row>21</xdr:row>
      <xdr:rowOff>37169</xdr:rowOff>
    </xdr:from>
    <xdr:to>
      <xdr:col>50</xdr:col>
      <xdr:colOff>390291</xdr:colOff>
      <xdr:row>51</xdr:row>
      <xdr:rowOff>55754</xdr:rowOff>
    </xdr:to>
    <mc:AlternateContent xmlns:mc="http://schemas.openxmlformats.org/markup-compatibility/2006" xmlns:a14="http://schemas.microsoft.com/office/drawing/2010/main">
      <mc:Choice Requires="a14">
        <xdr:graphicFrame macro="">
          <xdr:nvGraphicFramePr>
            <xdr:cNvPr id="14" name="Transaction Status">
              <a:extLst>
                <a:ext uri="{FF2B5EF4-FFF2-40B4-BE49-F238E27FC236}">
                  <a16:creationId xmlns:a16="http://schemas.microsoft.com/office/drawing/2014/main" id="{594D171B-8D02-9D1D-896E-B0499E849DC3}"/>
                </a:ext>
              </a:extLst>
            </xdr:cNvPr>
            <xdr:cNvGraphicFramePr/>
          </xdr:nvGraphicFramePr>
          <xdr:xfrm>
            <a:off x="0" y="0"/>
            <a:ext cx="0" cy="0"/>
          </xdr:xfrm>
          <a:graphic>
            <a:graphicData uri="http://schemas.microsoft.com/office/drawing/2010/slicer">
              <sle:slicer xmlns:sle="http://schemas.microsoft.com/office/drawing/2010/slicer" name="Transaction Status"/>
            </a:graphicData>
          </a:graphic>
        </xdr:graphicFrame>
      </mc:Choice>
      <mc:Fallback xmlns="">
        <xdr:sp macro="" textlink="">
          <xdr:nvSpPr>
            <xdr:cNvPr id="0" name=""/>
            <xdr:cNvSpPr>
              <a:spLocks noTextEdit="1"/>
            </xdr:cNvSpPr>
          </xdr:nvSpPr>
          <xdr:spPr>
            <a:xfrm>
              <a:off x="27169944" y="3940096"/>
              <a:ext cx="3886201" cy="5594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574287</xdr:colOff>
      <xdr:row>34</xdr:row>
      <xdr:rowOff>1</xdr:rowOff>
    </xdr:from>
    <xdr:to>
      <xdr:col>56</xdr:col>
      <xdr:colOff>520391</xdr:colOff>
      <xdr:row>72</xdr:row>
      <xdr:rowOff>148684</xdr:rowOff>
    </xdr:to>
    <mc:AlternateContent xmlns:mc="http://schemas.openxmlformats.org/markup-compatibility/2006" xmlns:a14="http://schemas.microsoft.com/office/drawing/2010/main">
      <mc:Choice Requires="a14">
        <xdr:graphicFrame macro="">
          <xdr:nvGraphicFramePr>
            <xdr:cNvPr id="15" name="Payment Mode">
              <a:extLst>
                <a:ext uri="{FF2B5EF4-FFF2-40B4-BE49-F238E27FC236}">
                  <a16:creationId xmlns:a16="http://schemas.microsoft.com/office/drawing/2014/main" id="{0FA84606-1141-AA46-FE4B-534E7460216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31240141" y="6319025"/>
              <a:ext cx="3626006" cy="7211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351264</xdr:colOff>
      <xdr:row>52</xdr:row>
      <xdr:rowOff>130099</xdr:rowOff>
    </xdr:from>
    <xdr:to>
      <xdr:col>43</xdr:col>
      <xdr:colOff>501806</xdr:colOff>
      <xdr:row>84</xdr:row>
      <xdr:rowOff>18586</xdr:rowOff>
    </xdr:to>
    <mc:AlternateContent xmlns:mc="http://schemas.openxmlformats.org/markup-compatibility/2006" xmlns:a14="http://schemas.microsoft.com/office/drawing/2010/main">
      <mc:Choice Requires="a14">
        <xdr:graphicFrame macro="">
          <xdr:nvGraphicFramePr>
            <xdr:cNvPr id="16" name="year_month">
              <a:extLst>
                <a:ext uri="{FF2B5EF4-FFF2-40B4-BE49-F238E27FC236}">
                  <a16:creationId xmlns:a16="http://schemas.microsoft.com/office/drawing/2014/main" id="{7ED2491E-AAF1-9F72-49FA-0AA1761DA532}"/>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mlns="">
        <xdr:sp macro="" textlink="">
          <xdr:nvSpPr>
            <xdr:cNvPr id="0" name=""/>
            <xdr:cNvSpPr>
              <a:spLocks noTextEdit="1"/>
            </xdr:cNvSpPr>
          </xdr:nvSpPr>
          <xdr:spPr>
            <a:xfrm>
              <a:off x="23043996" y="9794489"/>
              <a:ext cx="3830444" cy="50923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260195</xdr:colOff>
      <xdr:row>52</xdr:row>
      <xdr:rowOff>55756</xdr:rowOff>
    </xdr:from>
    <xdr:to>
      <xdr:col>50</xdr:col>
      <xdr:colOff>223024</xdr:colOff>
      <xdr:row>83</xdr:row>
      <xdr:rowOff>111512</xdr:rowOff>
    </xdr:to>
    <mc:AlternateContent xmlns:mc="http://schemas.openxmlformats.org/markup-compatibility/2006" xmlns:a14="http://schemas.microsoft.com/office/drawing/2010/main">
      <mc:Choice Requires="a14">
        <xdr:graphicFrame macro="">
          <xdr:nvGraphicFramePr>
            <xdr:cNvPr id="17" name="Is Fraud">
              <a:extLst>
                <a:ext uri="{FF2B5EF4-FFF2-40B4-BE49-F238E27FC236}">
                  <a16:creationId xmlns:a16="http://schemas.microsoft.com/office/drawing/2014/main" id="{1474A714-1999-058F-061A-B278A8A6348F}"/>
                </a:ext>
              </a:extLst>
            </xdr:cNvPr>
            <xdr:cNvGraphicFramePr/>
          </xdr:nvGraphicFramePr>
          <xdr:xfrm>
            <a:off x="0" y="0"/>
            <a:ext cx="0" cy="0"/>
          </xdr:xfrm>
          <a:graphic>
            <a:graphicData uri="http://schemas.microsoft.com/office/drawing/2010/slicer">
              <sle:slicer xmlns:sle="http://schemas.microsoft.com/office/drawing/2010/slicer" name="Is Fraud"/>
            </a:graphicData>
          </a:graphic>
        </xdr:graphicFrame>
      </mc:Choice>
      <mc:Fallback xmlns="">
        <xdr:sp macro="" textlink="">
          <xdr:nvSpPr>
            <xdr:cNvPr id="0" name=""/>
            <xdr:cNvSpPr>
              <a:spLocks noTextEdit="1"/>
            </xdr:cNvSpPr>
          </xdr:nvSpPr>
          <xdr:spPr>
            <a:xfrm>
              <a:off x="27246146" y="9720146"/>
              <a:ext cx="3642732" cy="4311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74342</xdr:colOff>
      <xdr:row>10</xdr:row>
      <xdr:rowOff>55756</xdr:rowOff>
    </xdr:from>
    <xdr:to>
      <xdr:col>22</xdr:col>
      <xdr:colOff>111512</xdr:colOff>
      <xdr:row>17</xdr:row>
      <xdr:rowOff>148683</xdr:rowOff>
    </xdr:to>
    <xdr:sp macro="" textlink="">
      <xdr:nvSpPr>
        <xdr:cNvPr id="18" name="Rectangle 17">
          <a:extLst>
            <a:ext uri="{FF2B5EF4-FFF2-40B4-BE49-F238E27FC236}">
              <a16:creationId xmlns:a16="http://schemas.microsoft.com/office/drawing/2014/main" id="{689654F0-E02E-7DA2-1475-FCCB180D6DBA}"/>
            </a:ext>
          </a:extLst>
        </xdr:cNvPr>
        <xdr:cNvSpPr/>
      </xdr:nvSpPr>
      <xdr:spPr>
        <a:xfrm>
          <a:off x="2527610" y="1914293"/>
          <a:ext cx="11076878" cy="1393902"/>
        </a:xfrm>
        <a:prstGeom prst="rect">
          <a:avLst/>
        </a:prstGeom>
        <a:solidFill>
          <a:schemeClr val="accent4">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a:t>26</a:t>
          </a:r>
          <a:r>
            <a:rPr lang="en-US" sz="3200" baseline="0"/>
            <a:t> Failed</a:t>
          </a:r>
          <a:endParaRPr lang="en-US" sz="3200"/>
        </a:p>
      </xdr:txBody>
    </xdr:sp>
    <xdr:clientData/>
  </xdr:twoCellAnchor>
  <xdr:twoCellAnchor>
    <xdr:from>
      <xdr:col>22</xdr:col>
      <xdr:colOff>167267</xdr:colOff>
      <xdr:row>10</xdr:row>
      <xdr:rowOff>55757</xdr:rowOff>
    </xdr:from>
    <xdr:to>
      <xdr:col>40</xdr:col>
      <xdr:colOff>55755</xdr:colOff>
      <xdr:row>17</xdr:row>
      <xdr:rowOff>167269</xdr:rowOff>
    </xdr:to>
    <xdr:sp macro="" textlink="">
      <xdr:nvSpPr>
        <xdr:cNvPr id="19" name="Rectangle 18">
          <a:extLst>
            <a:ext uri="{FF2B5EF4-FFF2-40B4-BE49-F238E27FC236}">
              <a16:creationId xmlns:a16="http://schemas.microsoft.com/office/drawing/2014/main" id="{A69484A3-DA75-D7CA-6EC3-991A8E2555DE}"/>
            </a:ext>
          </a:extLst>
        </xdr:cNvPr>
        <xdr:cNvSpPr/>
      </xdr:nvSpPr>
      <xdr:spPr>
        <a:xfrm>
          <a:off x="13660243" y="1914294"/>
          <a:ext cx="10928195" cy="1412487"/>
        </a:xfrm>
        <a:prstGeom prst="rect">
          <a:avLst/>
        </a:prstGeom>
        <a:solidFill>
          <a:schemeClr val="accent4">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a:t>21</a:t>
          </a:r>
          <a:r>
            <a:rPr lang="en-US" sz="3200" baseline="0"/>
            <a:t> Reversed</a:t>
          </a:r>
          <a:endParaRPr lang="en-US" sz="3200"/>
        </a:p>
      </xdr:txBody>
    </xdr:sp>
    <xdr:clientData/>
  </xdr:twoCellAnchor>
  <xdr:twoCellAnchor>
    <xdr:from>
      <xdr:col>40</xdr:col>
      <xdr:colOff>92928</xdr:colOff>
      <xdr:row>10</xdr:row>
      <xdr:rowOff>55756</xdr:rowOff>
    </xdr:from>
    <xdr:to>
      <xdr:col>52</xdr:col>
      <xdr:colOff>148683</xdr:colOff>
      <xdr:row>18</xdr:row>
      <xdr:rowOff>0</xdr:rowOff>
    </xdr:to>
    <xdr:sp macro="" textlink="">
      <xdr:nvSpPr>
        <xdr:cNvPr id="20" name="Rectangle 19">
          <a:extLst>
            <a:ext uri="{FF2B5EF4-FFF2-40B4-BE49-F238E27FC236}">
              <a16:creationId xmlns:a16="http://schemas.microsoft.com/office/drawing/2014/main" id="{C115F402-2615-7E90-0EFD-37D3D7A9FFF9}"/>
            </a:ext>
          </a:extLst>
        </xdr:cNvPr>
        <xdr:cNvSpPr/>
      </xdr:nvSpPr>
      <xdr:spPr>
        <a:xfrm>
          <a:off x="24625611" y="1914293"/>
          <a:ext cx="7415560" cy="1431073"/>
        </a:xfrm>
        <a:prstGeom prst="rect">
          <a:avLst/>
        </a:prstGeom>
        <a:solidFill>
          <a:schemeClr val="accent4">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3200"/>
            <a:t>9.4%</a:t>
          </a:r>
          <a:r>
            <a:rPr lang="en-US" sz="3200" baseline="0"/>
            <a:t> Risk rate</a:t>
          </a:r>
          <a:endParaRPr lang="en-US" sz="32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8.942267824073" backgroundQuery="1" createdVersion="8" refreshedVersion="8" minRefreshableVersion="3" recordCount="0" supportSubquery="1" supportAdvancedDrill="1" xr:uid="{4596FF13-8BD0-4044-8CC6-492BCE65BA7C}">
  <cacheSource type="external" connectionId="1"/>
  <cacheFields count="3">
    <cacheField name="[Measures].[Count of Transaction ID]" caption="Count of Transaction ID" numFmtId="0" hierarchy="38" level="32767"/>
    <cacheField name="[Table2].[Is Fraud].[Is Fraud]" caption="Is Fraud" numFmtId="0" hierarchy="23" level="1">
      <sharedItems count="2">
        <s v="No"/>
        <s v="Yes"/>
      </sharedItems>
    </cacheField>
    <cacheField name="[Table2].[Transaction Type].[Transaction Type]" caption="Transaction Type" numFmtId="0" hierarchy="17" level="1">
      <sharedItems count="4">
        <s v="Cheque"/>
        <s v="Deposit"/>
        <s v="Online Transfer"/>
        <s v="Withdrawal"/>
      </sharedItems>
    </cacheField>
  </cacheFields>
  <cacheHierarchies count="44">
    <cacheHierarchy uniqueName="[Range].[year_month]" caption="year_month" attribute="1" defaultMemberUniqueName="[Range].[year_month].[All]" allUniqueName="[Range].[year_month].[All]" dimensionUniqueName="[Range]" displayFolder="" count="0" memberValueDatatype="130" unbalanced="0"/>
    <cacheHierarchy uniqueName="[Range 1].[Transaction ID]" caption="Transaction ID" attribute="1" defaultMemberUniqueName="[Range 1].[Transaction ID].[All]" allUniqueName="[Range 1].[Transaction ID].[All]" dimensionUniqueName="[Range 1]" displayFolder="" count="0" memberValueDatatype="130" unbalanced="0"/>
    <cacheHierarchy uniqueName="[Range 2].[Transaction Status]" caption="Transaction Status" attribute="1" defaultMemberUniqueName="[Range 2].[Transaction Status].[All]" allUniqueName="[Range 2].[Transaction Status].[All]" dimensionUniqueName="[Range 2]" displayFolder="" count="0" memberValueDatatype="130" unbalanced="0"/>
    <cacheHierarchy uniqueName="[Range 3].[UPI]" caption="UPI" attribute="1" defaultMemberUniqueName="[Range 3].[UPI].[All]" allUniqueName="[Range 3].[UPI].[All]" dimensionUniqueName="[Range 3]" displayFolder="" count="0" memberValueDatatype="130" unbalanced="0"/>
    <cacheHierarchy uniqueName="[Range 4].[Transaction Amount]" caption="Transaction Amount" attribute="1" defaultMemberUniqueName="[Range 4].[Transaction Amount].[All]" allUniqueName="[Range 4].[Transaction Amount].[All]" dimensionUniqueName="[Range 4]" displayFolder="" count="0" memberValueDatatype="5" unbalanced="0"/>
    <cacheHierarchy uniqueName="[Range 5].[City]" caption="City" attribute="1" defaultMemberUniqueName="[Range 5].[City].[All]" allUniqueName="[Range 5].[City].[All]" dimensionUniqueName="[Range 5]" displayFolder="" count="0" memberValueDatatype="130" unbalanced="0"/>
    <cacheHierarchy uniqueName="[Range 6].[Is Fraud]" caption="Is Fraud" attribute="1" defaultMemberUniqueName="[Range 6].[Is Fraud].[All]" allUniqueName="[Range 6].[Is Fraud].[All]" dimensionUniqueName="[Range 6]" displayFolder="" count="0" memberValueDatatype="130" unbalanced="0"/>
    <cacheHierarchy uniqueName="[Range 7].[Transaction Type]" caption="Transaction Type" attribute="1" defaultMemberUniqueName="[Range 7].[Transaction Type].[All]" allUniqueName="[Range 7].[Transaction Type].[All]" dimensionUniqueName="[Range 7]" displayFolder="" count="0" memberValueDatatype="130" unbalanced="0"/>
    <cacheHierarchy uniqueName="[Range 8].[Customer ID]" caption="Customer ID" attribute="1" defaultMemberUniqueName="[Range 8].[Customer ID].[All]" allUniqueName="[Range 8].[Customer ID].[All]" dimensionUniqueName="[Range 8]" displayFolder="" count="0" memberValueDatatype="20" unbalanced="0"/>
    <cacheHierarchy uniqueName="[Table2].[Transaction ID]" caption="Transaction ID" attribute="1" defaultMemberUniqueName="[Table2].[Transaction ID].[All]" allUniqueName="[Table2].[Transac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Account Number]" caption="Account Number" attribute="1" defaultMemberUniqueName="[Table2].[Account Number].[All]" allUniqueName="[Table2].[Account Number].[All]" dimensionUniqueName="[Table2]" displayFolder="" count="0" memberValueDatatype="5"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Branch Name]" caption="Branch Name" attribute="1" defaultMemberUniqueName="[Table2].[Branch Name].[All]" allUniqueName="[Table2].[Branch Name].[All]" dimensionUniqueName="[Table2]" displayFolder="" count="0" memberValueDatatype="130" unbalanced="0"/>
    <cacheHierarchy uniqueName="[Table2].[Account Type]" caption="Account Type" attribute="1" defaultMemberUniqueName="[Table2].[Account Type].[All]" allUniqueName="[Table2].[Account Type].[All]" dimensionUniqueName="[Table2]" displayFolder="" count="0"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fieldsUsage count="2">
        <fieldUsage x="-1"/>
        <fieldUsage x="2"/>
      </fieldsUsage>
    </cacheHierarchy>
    <cacheHierarchy uniqueName="[Table2].[Transaction Amount]" caption="Transaction Amount" attribute="1" defaultMemberUniqueName="[Table2].[Transaction Amount].[All]" allUniqueName="[Table2].[Transaction Amount].[All]" dimensionUniqueName="[Table2]" displayFolder="" count="0" memberValueDatatype="5" unbalanced="0"/>
    <cacheHierarchy uniqueName="[Table2].[Payment Mode]" caption="Payment Mode" attribute="1" defaultMemberUniqueName="[Table2].[Payment Mode].[All]" allUniqueName="[Table2].[Payment Mode].[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0" memberValueDatatype="7" unbalanced="0"/>
    <cacheHierarchy uniqueName="[Table2].[Transaction Status]" caption="Transaction Status" attribute="1" defaultMemberUniqueName="[Table2].[Transaction Status].[All]" allUniqueName="[Table2].[Transaction Status].[All]" dimensionUniqueName="[Table2]" displayFolder="" count="0" memberValueDatatype="130" unbalanced="0"/>
    <cacheHierarchy uniqueName="[Table2].[Balance After Txn]" caption="Balance After Txn" attribute="1" defaultMemberUniqueName="[Table2].[Balance After Txn].[All]" allUniqueName="[Table2].[Balance After Txn].[All]" dimensionUniqueName="[Table2]" displayFolder="" count="0" memberValueDatatype="5" unbalanced="0"/>
    <cacheHierarchy uniqueName="[Table2].[Is Fraud]" caption="Is Fraud" attribute="1" defaultMemberUniqueName="[Table2].[Is Fraud].[All]" allUniqueName="[Table2].[Is Fraud].[All]" dimensionUniqueName="[Table2]" displayFolder="" count="2" memberValueDatatype="130" unbalanced="0">
      <fieldsUsage count="2">
        <fieldUsage x="-1"/>
        <fieldUsage x="1"/>
      </fieldsUsage>
    </cacheHierarchy>
    <cacheHierarchy uniqueName="[Table2].[year_month]" caption="year_month" attribute="1" defaultMemberUniqueName="[Table2].[year_month].[All]" allUniqueName="[Table2].[year_month].[All]" dimensionUniqueName="[Table2]" displayFolder="" count="0"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0"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83271990743" backgroundQuery="1" createdVersion="8" refreshedVersion="8" minRefreshableVersion="3" recordCount="0" supportSubquery="1" supportAdvancedDrill="1" xr:uid="{0AE24BD5-83CB-482B-9DAC-BB8F5FE77B3F}">
  <cacheSource type="external" connectionId="1"/>
  <cacheFields count="3">
    <cacheField name="[Table2].[Branch Name].[Branch Name]" caption="Branch Name" numFmtId="0" hierarchy="15" level="1">
      <sharedItems count="25">
        <s v="Ahmedabad Branch"/>
        <s v="Amritsar Branch"/>
        <s v="Bangalore Branch"/>
        <s v="Bhopal Branch"/>
        <s v="Bhubaneswar Branch"/>
        <s v="Chandigarh Branch"/>
        <s v="Chennai Branch"/>
        <s v="Coimbatore Branch"/>
        <s v="Delhi Branch"/>
        <s v="Guwahati Branch"/>
        <s v="Gwalior Branch"/>
        <s v="Hyderabad Branch"/>
        <s v="Indore Branch"/>
        <s v="Jabalpur Branch"/>
        <s v="Jaipur Branch"/>
        <s v="Kochi Branch"/>
        <s v="Kolkata Branch"/>
        <s v="Lucknow Branch"/>
        <s v="Mumbai Branch"/>
        <s v="Nagpur Branch"/>
        <s v="Patna Branch"/>
        <s v="Pune Branch"/>
        <s v="Raipur Branch"/>
        <s v="Ranchi Branch"/>
        <s v="Surat Branch"/>
      </sharedItems>
    </cacheField>
    <cacheField name="[Table2].[Is Fraud].[Is Fraud]" caption="Is Fraud" numFmtId="0" hierarchy="23" level="1">
      <sharedItems count="2">
        <s v="No"/>
        <s v="Yes"/>
      </sharedItems>
    </cacheField>
    <cacheField name="[Measures].[Count of Transaction ID]" caption="Count of Transaction ID" numFmtId="0" hierarchy="38" level="32767"/>
  </cacheFields>
  <cacheHierarchies count="44">
    <cacheHierarchy uniqueName="[Range].[year_month]" caption="year_month" attribute="1" defaultMemberUniqueName="[Range].[year_month].[All]" allUniqueName="[Range].[year_month].[All]" dimensionUniqueName="[Range]" displayFolder="" count="0" memberValueDatatype="130" unbalanced="0"/>
    <cacheHierarchy uniqueName="[Range 1].[Transaction ID]" caption="Transaction ID" attribute="1" defaultMemberUniqueName="[Range 1].[Transaction ID].[All]" allUniqueName="[Range 1].[Transaction ID].[All]" dimensionUniqueName="[Range 1]" displayFolder="" count="0" memberValueDatatype="130" unbalanced="0"/>
    <cacheHierarchy uniqueName="[Range 2].[Transaction Status]" caption="Transaction Status" attribute="1" defaultMemberUniqueName="[Range 2].[Transaction Status].[All]" allUniqueName="[Range 2].[Transaction Status].[All]" dimensionUniqueName="[Range 2]" displayFolder="" count="0" memberValueDatatype="130" unbalanced="0"/>
    <cacheHierarchy uniqueName="[Range 3].[UPI]" caption="UPI" attribute="1" defaultMemberUniqueName="[Range 3].[UPI].[All]" allUniqueName="[Range 3].[UPI].[All]" dimensionUniqueName="[Range 3]" displayFolder="" count="0" memberValueDatatype="130" unbalanced="0"/>
    <cacheHierarchy uniqueName="[Range 4].[Transaction Amount]" caption="Transaction Amount" attribute="1" defaultMemberUniqueName="[Range 4].[Transaction Amount].[All]" allUniqueName="[Range 4].[Transaction Amount].[All]" dimensionUniqueName="[Range 4]" displayFolder="" count="0" memberValueDatatype="5" unbalanced="0"/>
    <cacheHierarchy uniqueName="[Range 5].[City]" caption="City" attribute="1" defaultMemberUniqueName="[Range 5].[City].[All]" allUniqueName="[Range 5].[City].[All]" dimensionUniqueName="[Range 5]" displayFolder="" count="0" memberValueDatatype="130" unbalanced="0"/>
    <cacheHierarchy uniqueName="[Range 6].[Is Fraud]" caption="Is Fraud" attribute="1" defaultMemberUniqueName="[Range 6].[Is Fraud].[All]" allUniqueName="[Range 6].[Is Fraud].[All]" dimensionUniqueName="[Range 6]" displayFolder="" count="0" memberValueDatatype="130" unbalanced="0"/>
    <cacheHierarchy uniqueName="[Range 7].[Transaction Type]" caption="Transaction Type" attribute="1" defaultMemberUniqueName="[Range 7].[Transaction Type].[All]" allUniqueName="[Range 7].[Transaction Type].[All]" dimensionUniqueName="[Range 7]" displayFolder="" count="0" memberValueDatatype="130" unbalanced="0"/>
    <cacheHierarchy uniqueName="[Range 8].[Customer ID]" caption="Customer ID" attribute="1" defaultMemberUniqueName="[Range 8].[Customer ID].[All]" allUniqueName="[Range 8].[Customer ID].[All]" dimensionUniqueName="[Range 8]" displayFolder="" count="0" memberValueDatatype="20" unbalanced="0"/>
    <cacheHierarchy uniqueName="[Table2].[Transaction ID]" caption="Transaction ID" attribute="1" defaultMemberUniqueName="[Table2].[Transaction ID].[All]" allUniqueName="[Table2].[Transac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Account Number]" caption="Account Number" attribute="1" defaultMemberUniqueName="[Table2].[Account Number].[All]" allUniqueName="[Table2].[Account Number].[All]" dimensionUniqueName="[Table2]" displayFolder="" count="0" memberValueDatatype="5"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Branch Name]" caption="Branch Name" attribute="1" defaultMemberUniqueName="[Table2].[Branch Name].[All]" allUniqueName="[Table2].[Branch Name].[All]" dimensionUniqueName="[Table2]" displayFolder="" count="2" memberValueDatatype="130" unbalanced="0">
      <fieldsUsage count="2">
        <fieldUsage x="-1"/>
        <fieldUsage x="0"/>
      </fieldsUsage>
    </cacheHierarchy>
    <cacheHierarchy uniqueName="[Table2].[Account Type]" caption="Account Type" attribute="1" defaultMemberUniqueName="[Table2].[Account Type].[All]" allUniqueName="[Table2].[Account Type].[All]" dimensionUniqueName="[Table2]" displayFolder="" count="0" memberValueDatatype="130" unbalanced="0"/>
    <cacheHierarchy uniqueName="[Table2].[Transaction Type]" caption="Transaction Type" attribute="1" defaultMemberUniqueName="[Table2].[Transaction Type].[All]" allUniqueName="[Table2].[Transaction Type].[All]" dimensionUniqueName="[Table2]" displayFolder="" count="0" memberValueDatatype="130" unbalanced="0"/>
    <cacheHierarchy uniqueName="[Table2].[Transaction Amount]" caption="Transaction Amount" attribute="1" defaultMemberUniqueName="[Table2].[Transaction Amount].[All]" allUniqueName="[Table2].[Transaction Amount].[All]" dimensionUniqueName="[Table2]" displayFolder="" count="0" memberValueDatatype="5" unbalanced="0"/>
    <cacheHierarchy uniqueName="[Table2].[Payment Mode]" caption="Payment Mode" attribute="1" defaultMemberUniqueName="[Table2].[Payment Mode].[All]" allUniqueName="[Table2].[Payment Mode].[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0" memberValueDatatype="7" unbalanced="0"/>
    <cacheHierarchy uniqueName="[Table2].[Transaction Status]" caption="Transaction Status" attribute="1" defaultMemberUniqueName="[Table2].[Transaction Status].[All]" allUniqueName="[Table2].[Transaction Status].[All]" dimensionUniqueName="[Table2]" displayFolder="" count="0" memberValueDatatype="130" unbalanced="0"/>
    <cacheHierarchy uniqueName="[Table2].[Balance After Txn]" caption="Balance After Txn" attribute="1" defaultMemberUniqueName="[Table2].[Balance After Txn].[All]" allUniqueName="[Table2].[Balance After Txn].[All]" dimensionUniqueName="[Table2]" displayFolder="" count="0" memberValueDatatype="5" unbalanced="0"/>
    <cacheHierarchy uniqueName="[Table2].[Is Fraud]" caption="Is Fraud" attribute="1" defaultMemberUniqueName="[Table2].[Is Fraud].[All]" allUniqueName="[Table2].[Is Fraud].[All]" dimensionUniqueName="[Table2]" displayFolder="" count="2" memberValueDatatype="130" unbalanced="0">
      <fieldsUsage count="2">
        <fieldUsage x="-1"/>
        <fieldUsage x="1"/>
      </fieldsUsage>
    </cacheHierarchy>
    <cacheHierarchy uniqueName="[Table2].[year_month]" caption="year_month" attribute="1" defaultMemberUniqueName="[Table2].[year_month].[All]" allUniqueName="[Table2].[year_month].[All]" dimensionUniqueName="[Table2]" displayFolder="" count="0"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0"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1811111111" backgroundQuery="1" createdVersion="8" refreshedVersion="8" minRefreshableVersion="3" recordCount="0" supportSubquery="1" supportAdvancedDrill="1" xr:uid="{1DE315E2-5C68-46B3-83B6-707BDEB5CE61}">
  <cacheSource type="external" connectionId="1"/>
  <cacheFields count="2">
    <cacheField name="[Table2].[Branch Name].[Branch Name]" caption="Branch Name" numFmtId="0" hierarchy="15" level="1">
      <sharedItems count="25">
        <s v="Ahmedabad Branch"/>
        <s v="Amritsar Branch"/>
        <s v="Bangalore Branch"/>
        <s v="Bhopal Branch"/>
        <s v="Bhubaneswar Branch"/>
        <s v="Chandigarh Branch"/>
        <s v="Chennai Branch"/>
        <s v="Coimbatore Branch"/>
        <s v="Delhi Branch"/>
        <s v="Guwahati Branch"/>
        <s v="Gwalior Branch"/>
        <s v="Hyderabad Branch"/>
        <s v="Indore Branch"/>
        <s v="Jabalpur Branch"/>
        <s v="Jaipur Branch"/>
        <s v="Kochi Branch"/>
        <s v="Kolkata Branch"/>
        <s v="Lucknow Branch"/>
        <s v="Mumbai Branch"/>
        <s v="Nagpur Branch"/>
        <s v="Patna Branch"/>
        <s v="Pune Branch"/>
        <s v="Raipur Branch"/>
        <s v="Ranchi Branch"/>
        <s v="Surat Branch"/>
      </sharedItems>
    </cacheField>
    <cacheField name="[Measures].[Sum of Transaction Amount]" caption="Sum of Transaction Amount" numFmtId="0" hierarchy="40" level="32767"/>
  </cacheFields>
  <cacheHierarchies count="44">
    <cacheHierarchy uniqueName="[Range].[year_month]" caption="year_month" attribute="1" defaultMemberUniqueName="[Range].[year_month].[All]" allUniqueName="[Range].[year_month].[All]" dimensionUniqueName="[Range]" displayFolder="" count="2" memberValueDatatype="130" unbalanced="0"/>
    <cacheHierarchy uniqueName="[Range 1].[Transaction ID]" caption="Transaction ID" attribute="1" defaultMemberUniqueName="[Range 1].[Transaction ID].[All]" allUniqueName="[Range 1].[Transaction ID].[All]" dimensionUniqueName="[Range 1]" displayFolder="" count="2" memberValueDatatype="130" unbalanced="0"/>
    <cacheHierarchy uniqueName="[Range 2].[Transaction Status]" caption="Transaction Status" attribute="1" defaultMemberUniqueName="[Range 2].[Transaction Status].[All]" allUniqueName="[Range 2].[Transaction Status].[All]" dimensionUniqueName="[Range 2]" displayFolder="" count="2" memberValueDatatype="130" unbalanced="0"/>
    <cacheHierarchy uniqueName="[Range 3].[UPI]" caption="UPI" attribute="1" defaultMemberUniqueName="[Range 3].[UPI].[All]" allUniqueName="[Range 3].[UPI].[All]" dimensionUniqueName="[Range 3]" displayFolder="" count="2" memberValueDatatype="130" unbalanced="0"/>
    <cacheHierarchy uniqueName="[Range 4].[Transaction Amount]" caption="Transaction Amount" attribute="1" defaultMemberUniqueName="[Range 4].[Transaction Amount].[All]" allUniqueName="[Range 4].[Transaction Amount].[All]" dimensionUniqueName="[Range 4]" displayFolder="" count="2" memberValueDatatype="5" unbalanced="0"/>
    <cacheHierarchy uniqueName="[Range 5].[City]" caption="City" attribute="1" defaultMemberUniqueName="[Range 5].[City].[All]" allUniqueName="[Range 5].[City].[All]" dimensionUniqueName="[Range 5]" displayFolder="" count="2" memberValueDatatype="130" unbalanced="0"/>
    <cacheHierarchy uniqueName="[Range 6].[Is Fraud]" caption="Is Fraud" attribute="1" defaultMemberUniqueName="[Range 6].[Is Fraud].[All]" allUniqueName="[Range 6].[Is Fraud].[All]" dimensionUniqueName="[Range 6]" displayFolder="" count="2" memberValueDatatype="130" unbalanced="0"/>
    <cacheHierarchy uniqueName="[Range 7].[Transaction Type]" caption="Transaction Type" attribute="1" defaultMemberUniqueName="[Range 7].[Transaction Type].[All]" allUniqueName="[Range 7].[Transaction Type].[All]" dimensionUniqueName="[Range 7]" displayFolder="" count="2" memberValueDatatype="130" unbalanced="0"/>
    <cacheHierarchy uniqueName="[Range 8].[Customer ID]" caption="Customer ID" attribute="1" defaultMemberUniqueName="[Range 8].[Customer ID].[All]" allUniqueName="[Range 8].[Customer ID].[All]" dimensionUniqueName="[Range 8]" displayFolder="" count="2" memberValueDatatype="20" unbalanced="0"/>
    <cacheHierarchy uniqueName="[Table2].[Transaction ID]" caption="Transaction ID" attribute="1" defaultMemberUniqueName="[Table2].[Transaction ID].[All]" allUniqueName="[Table2].[Transaction ID].[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ccount Number]" caption="Account Number" attribute="1" defaultMemberUniqueName="[Table2].[Account Number].[All]" allUniqueName="[Table2].[Account Number].[All]" dimensionUniqueName="[Table2]" displayFolder="" count="2" memberValueDatatype="5"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Branch Name]" caption="Branch Name" attribute="1" defaultMemberUniqueName="[Table2].[Branch Name].[All]" allUniqueName="[Table2].[Branch Name].[All]" dimensionUniqueName="[Table2]" displayFolder="" count="2" memberValueDatatype="130" unbalanced="0">
      <fieldsUsage count="2">
        <fieldUsage x="-1"/>
        <fieldUsage x="0"/>
      </fieldsUsage>
    </cacheHierarchy>
    <cacheHierarchy uniqueName="[Table2].[Account Type]" caption="Account Type" attribute="1" defaultMemberUniqueName="[Table2].[Account Type].[All]" allUniqueName="[Table2].[Account Type].[All]" dimensionUniqueName="[Table2]" displayFolder="" count="2"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cacheHierarchy uniqueName="[Table2].[Transaction Amount]" caption="Transaction Amount" attribute="1" defaultMemberUniqueName="[Table2].[Transaction Amount].[All]" allUniqueName="[Table2].[Transaction Amount].[All]" dimensionUniqueName="[Table2]" displayFolder="" count="2" memberValueDatatype="5" unbalanced="0"/>
    <cacheHierarchy uniqueName="[Table2].[Payment Mode]" caption="Payment Mode" attribute="1" defaultMemberUniqueName="[Table2].[Payment Mode].[All]" allUniqueName="[Table2].[Payment Mode].[All]" dimensionUniqueName="[Table2]" displayFolder="" count="2"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Transaction Status]" caption="Transaction Status" attribute="1" defaultMemberUniqueName="[Table2].[Transaction Status].[All]" allUniqueName="[Table2].[Transaction Status].[All]" dimensionUniqueName="[Table2]" displayFolder="" count="2" memberValueDatatype="130" unbalanced="0"/>
    <cacheHierarchy uniqueName="[Table2].[Balance After Txn]" caption="Balance After Txn" attribute="1" defaultMemberUniqueName="[Table2].[Balance After Txn].[All]" allUniqueName="[Table2].[Balance After Txn].[All]" dimensionUniqueName="[Table2]" displayFolder="" count="2" memberValueDatatype="5" unbalanced="0"/>
    <cacheHierarchy uniqueName="[Table2].[Is Fraud]" caption="Is Fraud" attribute="1" defaultMemberUniqueName="[Table2].[Is Fraud].[All]" allUniqueName="[Table2].[Is Fraud].[All]" dimensionUniqueName="[Table2]" displayFolder="" count="2" memberValueDatatype="130" unbalanced="0"/>
    <cacheHierarchy uniqueName="[Table2].[year_month]" caption="year_month" attribute="1" defaultMemberUniqueName="[Table2].[year_month].[All]" allUniqueName="[Table2].[year_month].[All]" dimensionUniqueName="[Table2]" displayFolder="" count="2"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2"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1811921296" backgroundQuery="1" createdVersion="8" refreshedVersion="8" minRefreshableVersion="3" recordCount="0" supportSubquery="1" supportAdvancedDrill="1" xr:uid="{EB11652D-E3B6-4926-AD90-FF161EDCF604}">
  <cacheSource type="external" connectionId="1"/>
  <cacheFields count="3">
    <cacheField name="[Table2].[Region].[Region]" caption="Region" numFmtId="0" hierarchy="13" level="1">
      <sharedItems count="5">
        <s v="Central"/>
        <s v="East"/>
        <s v="North"/>
        <s v="South"/>
        <s v="West"/>
      </sharedItems>
    </cacheField>
    <cacheField name="[Measures].[Sum of Transaction Amount]" caption="Sum of Transaction Amount" numFmtId="0" hierarchy="40" level="32767"/>
    <cacheField name="[Table2].[Branch Name].[Branch Name]" caption="Branch Name" numFmtId="0" hierarchy="15" level="1">
      <sharedItems containsSemiMixedTypes="0" containsNonDate="0" containsString="0"/>
    </cacheField>
  </cacheFields>
  <cacheHierarchies count="44">
    <cacheHierarchy uniqueName="[Range].[year_month]" caption="year_month" attribute="1" defaultMemberUniqueName="[Range].[year_month].[All]" allUniqueName="[Range].[year_month].[All]" dimensionUniqueName="[Range]" displayFolder="" count="2" memberValueDatatype="130" unbalanced="0"/>
    <cacheHierarchy uniqueName="[Range 1].[Transaction ID]" caption="Transaction ID" attribute="1" defaultMemberUniqueName="[Range 1].[Transaction ID].[All]" allUniqueName="[Range 1].[Transaction ID].[All]" dimensionUniqueName="[Range 1]" displayFolder="" count="2" memberValueDatatype="130" unbalanced="0"/>
    <cacheHierarchy uniqueName="[Range 2].[Transaction Status]" caption="Transaction Status" attribute="1" defaultMemberUniqueName="[Range 2].[Transaction Status].[All]" allUniqueName="[Range 2].[Transaction Status].[All]" dimensionUniqueName="[Range 2]" displayFolder="" count="2" memberValueDatatype="130" unbalanced="0"/>
    <cacheHierarchy uniqueName="[Range 3].[UPI]" caption="UPI" attribute="1" defaultMemberUniqueName="[Range 3].[UPI].[All]" allUniqueName="[Range 3].[UPI].[All]" dimensionUniqueName="[Range 3]" displayFolder="" count="2" memberValueDatatype="130" unbalanced="0"/>
    <cacheHierarchy uniqueName="[Range 4].[Transaction Amount]" caption="Transaction Amount" attribute="1" defaultMemberUniqueName="[Range 4].[Transaction Amount].[All]" allUniqueName="[Range 4].[Transaction Amount].[All]" dimensionUniqueName="[Range 4]" displayFolder="" count="2" memberValueDatatype="5" unbalanced="0"/>
    <cacheHierarchy uniqueName="[Range 5].[City]" caption="City" attribute="1" defaultMemberUniqueName="[Range 5].[City].[All]" allUniqueName="[Range 5].[City].[All]" dimensionUniqueName="[Range 5]" displayFolder="" count="2" memberValueDatatype="130" unbalanced="0"/>
    <cacheHierarchy uniqueName="[Range 6].[Is Fraud]" caption="Is Fraud" attribute="1" defaultMemberUniqueName="[Range 6].[Is Fraud].[All]" allUniqueName="[Range 6].[Is Fraud].[All]" dimensionUniqueName="[Range 6]" displayFolder="" count="2" memberValueDatatype="130" unbalanced="0"/>
    <cacheHierarchy uniqueName="[Range 7].[Transaction Type]" caption="Transaction Type" attribute="1" defaultMemberUniqueName="[Range 7].[Transaction Type].[All]" allUniqueName="[Range 7].[Transaction Type].[All]" dimensionUniqueName="[Range 7]" displayFolder="" count="2" memberValueDatatype="130" unbalanced="0"/>
    <cacheHierarchy uniqueName="[Range 8].[Customer ID]" caption="Customer ID" attribute="1" defaultMemberUniqueName="[Range 8].[Customer ID].[All]" allUniqueName="[Range 8].[Customer ID].[All]" dimensionUniqueName="[Range 8]" displayFolder="" count="2" memberValueDatatype="20" unbalanced="0"/>
    <cacheHierarchy uniqueName="[Table2].[Transaction ID]" caption="Transaction ID" attribute="1" defaultMemberUniqueName="[Table2].[Transaction ID].[All]" allUniqueName="[Table2].[Transaction ID].[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ccount Number]" caption="Account Number" attribute="1" defaultMemberUniqueName="[Table2].[Account Number].[All]" allUniqueName="[Table2].[Account Number].[All]" dimensionUniqueName="[Table2]" displayFolder="" count="2" memberValueDatatype="5"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2" memberValueDatatype="130" unbalanced="0"/>
    <cacheHierarchy uniqueName="[Table2].[Branch Name]" caption="Branch Name" attribute="1" defaultMemberUniqueName="[Table2].[Branch Name].[All]" allUniqueName="[Table2].[Branch Name].[All]" dimensionUniqueName="[Table2]" displayFolder="" count="2" memberValueDatatype="130" unbalanced="0">
      <fieldsUsage count="2">
        <fieldUsage x="-1"/>
        <fieldUsage x="2"/>
      </fieldsUsage>
    </cacheHierarchy>
    <cacheHierarchy uniqueName="[Table2].[Account Type]" caption="Account Type" attribute="1" defaultMemberUniqueName="[Table2].[Account Type].[All]" allUniqueName="[Table2].[Account Type].[All]" dimensionUniqueName="[Table2]" displayFolder="" count="2"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cacheHierarchy uniqueName="[Table2].[Transaction Amount]" caption="Transaction Amount" attribute="1" defaultMemberUniqueName="[Table2].[Transaction Amount].[All]" allUniqueName="[Table2].[Transaction Amount].[All]" dimensionUniqueName="[Table2]" displayFolder="" count="2" memberValueDatatype="5" unbalanced="0"/>
    <cacheHierarchy uniqueName="[Table2].[Payment Mode]" caption="Payment Mode" attribute="1" defaultMemberUniqueName="[Table2].[Payment Mode].[All]" allUniqueName="[Table2].[Payment Mode].[All]" dimensionUniqueName="[Table2]" displayFolder="" count="2"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Transaction Status]" caption="Transaction Status" attribute="1" defaultMemberUniqueName="[Table2].[Transaction Status].[All]" allUniqueName="[Table2].[Transaction Status].[All]" dimensionUniqueName="[Table2]" displayFolder="" count="2" memberValueDatatype="130" unbalanced="0"/>
    <cacheHierarchy uniqueName="[Table2].[Balance After Txn]" caption="Balance After Txn" attribute="1" defaultMemberUniqueName="[Table2].[Balance After Txn].[All]" allUniqueName="[Table2].[Balance After Txn].[All]" dimensionUniqueName="[Table2]" displayFolder="" count="2" memberValueDatatype="5" unbalanced="0"/>
    <cacheHierarchy uniqueName="[Table2].[Is Fraud]" caption="Is Fraud" attribute="1" defaultMemberUniqueName="[Table2].[Is Fraud].[All]" allUniqueName="[Table2].[Is Fraud].[All]" dimensionUniqueName="[Table2]" displayFolder="" count="2" memberValueDatatype="130" unbalanced="0"/>
    <cacheHierarchy uniqueName="[Table2].[year_month]" caption="year_month" attribute="1" defaultMemberUniqueName="[Table2].[year_month].[All]" allUniqueName="[Table2].[year_month].[All]" dimensionUniqueName="[Table2]" displayFolder="" count="2"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2"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1812384258" backgroundQuery="1" createdVersion="8" refreshedVersion="8" minRefreshableVersion="3" recordCount="0" supportSubquery="1" supportAdvancedDrill="1" xr:uid="{4303C7B9-1949-49A1-BB2D-33F4231BACB5}">
  <cacheSource type="external" connectionId="1"/>
  <cacheFields count="3">
    <cacheField name="[Table2].[year_month].[year_month]" caption="year_month" numFmtId="0" hierarchy="24" level="1">
      <sharedItems count="25">
        <s v="2023-07"/>
        <s v="2023-08"/>
        <s v="2023-09"/>
        <s v="2023-10"/>
        <s v="2023-11"/>
        <s v="2023-12"/>
        <s v="2024-01"/>
        <s v="2024-02"/>
        <s v="2024-03"/>
        <s v="2024-04"/>
        <s v="2024-05"/>
        <s v="2024-06"/>
        <s v="2024-07"/>
        <s v="2024-08"/>
        <s v="2024-09"/>
        <s v="2024-10"/>
        <s v="2024-11"/>
        <s v="2024-12"/>
        <s v="2025-01"/>
        <s v="2025-02"/>
        <s v="2025-03"/>
        <s v="2025-04"/>
        <s v="2025-05"/>
        <s v="2025-06"/>
        <s v="2025-07"/>
      </sharedItems>
    </cacheField>
    <cacheField name="[Measures].[Sum of Transaction Amount]" caption="Sum of Transaction Amount" numFmtId="0" hierarchy="40" level="32767"/>
    <cacheField name="[Table2].[Branch Name].[Branch Name]" caption="Branch Name" numFmtId="0" hierarchy="15" level="1">
      <sharedItems containsSemiMixedTypes="0" containsNonDate="0" containsString="0"/>
    </cacheField>
  </cacheFields>
  <cacheHierarchies count="44">
    <cacheHierarchy uniqueName="[Range].[year_month]" caption="year_month" attribute="1" defaultMemberUniqueName="[Range].[year_month].[All]" allUniqueName="[Range].[year_month].[All]" dimensionUniqueName="[Range]" displayFolder="" count="0" memberValueDatatype="130" unbalanced="0"/>
    <cacheHierarchy uniqueName="[Range 1].[Transaction ID]" caption="Transaction ID" attribute="1" defaultMemberUniqueName="[Range 1].[Transaction ID].[All]" allUniqueName="[Range 1].[Transaction ID].[All]" dimensionUniqueName="[Range 1]" displayFolder="" count="0" memberValueDatatype="130" unbalanced="0"/>
    <cacheHierarchy uniqueName="[Range 2].[Transaction Status]" caption="Transaction Status" attribute="1" defaultMemberUniqueName="[Range 2].[Transaction Status].[All]" allUniqueName="[Range 2].[Transaction Status].[All]" dimensionUniqueName="[Range 2]" displayFolder="" count="0" memberValueDatatype="130" unbalanced="0"/>
    <cacheHierarchy uniqueName="[Range 3].[UPI]" caption="UPI" attribute="1" defaultMemberUniqueName="[Range 3].[UPI].[All]" allUniqueName="[Range 3].[UPI].[All]" dimensionUniqueName="[Range 3]" displayFolder="" count="0" memberValueDatatype="130" unbalanced="0"/>
    <cacheHierarchy uniqueName="[Range 4].[Transaction Amount]" caption="Transaction Amount" attribute="1" defaultMemberUniqueName="[Range 4].[Transaction Amount].[All]" allUniqueName="[Range 4].[Transaction Amount].[All]" dimensionUniqueName="[Range 4]" displayFolder="" count="0" memberValueDatatype="5" unbalanced="0"/>
    <cacheHierarchy uniqueName="[Range 5].[City]" caption="City" attribute="1" defaultMemberUniqueName="[Range 5].[City].[All]" allUniqueName="[Range 5].[City].[All]" dimensionUniqueName="[Range 5]" displayFolder="" count="0" memberValueDatatype="130" unbalanced="0"/>
    <cacheHierarchy uniqueName="[Range 6].[Is Fraud]" caption="Is Fraud" attribute="1" defaultMemberUniqueName="[Range 6].[Is Fraud].[All]" allUniqueName="[Range 6].[Is Fraud].[All]" dimensionUniqueName="[Range 6]" displayFolder="" count="0" memberValueDatatype="130" unbalanced="0"/>
    <cacheHierarchy uniqueName="[Range 7].[Transaction Type]" caption="Transaction Type" attribute="1" defaultMemberUniqueName="[Range 7].[Transaction Type].[All]" allUniqueName="[Range 7].[Transaction Type].[All]" dimensionUniqueName="[Range 7]" displayFolder="" count="0" memberValueDatatype="130" unbalanced="0"/>
    <cacheHierarchy uniqueName="[Range 8].[Customer ID]" caption="Customer ID" attribute="1" defaultMemberUniqueName="[Range 8].[Customer ID].[All]" allUniqueName="[Range 8].[Customer ID].[All]" dimensionUniqueName="[Range 8]" displayFolder="" count="0" memberValueDatatype="20" unbalanced="0"/>
    <cacheHierarchy uniqueName="[Table2].[Transaction ID]" caption="Transaction ID" attribute="1" defaultMemberUniqueName="[Table2].[Transaction ID].[All]" allUniqueName="[Table2].[Transac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Account Number]" caption="Account Number" attribute="1" defaultMemberUniqueName="[Table2].[Account Number].[All]" allUniqueName="[Table2].[Account Number].[All]" dimensionUniqueName="[Table2]" displayFolder="" count="0" memberValueDatatype="5"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Branch Name]" caption="Branch Name" attribute="1" defaultMemberUniqueName="[Table2].[Branch Name].[All]" allUniqueName="[Table2].[Branch Name].[All]" dimensionUniqueName="[Table2]" displayFolder="" count="2" memberValueDatatype="130" unbalanced="0">
      <fieldsUsage count="2">
        <fieldUsage x="-1"/>
        <fieldUsage x="2"/>
      </fieldsUsage>
    </cacheHierarchy>
    <cacheHierarchy uniqueName="[Table2].[Account Type]" caption="Account Type" attribute="1" defaultMemberUniqueName="[Table2].[Account Type].[All]" allUniqueName="[Table2].[Account Type].[All]" dimensionUniqueName="[Table2]" displayFolder="" count="0" memberValueDatatype="130" unbalanced="0"/>
    <cacheHierarchy uniqueName="[Table2].[Transaction Type]" caption="Transaction Type" attribute="1" defaultMemberUniqueName="[Table2].[Transaction Type].[All]" allUniqueName="[Table2].[Transaction Type].[All]" dimensionUniqueName="[Table2]" displayFolder="" count="0" memberValueDatatype="130" unbalanced="0"/>
    <cacheHierarchy uniqueName="[Table2].[Transaction Amount]" caption="Transaction Amount" attribute="1" defaultMemberUniqueName="[Table2].[Transaction Amount].[All]" allUniqueName="[Table2].[Transaction Amount].[All]" dimensionUniqueName="[Table2]" displayFolder="" count="0" memberValueDatatype="5" unbalanced="0"/>
    <cacheHierarchy uniqueName="[Table2].[Payment Mode]" caption="Payment Mode" attribute="1" defaultMemberUniqueName="[Table2].[Payment Mode].[All]" allUniqueName="[Table2].[Payment Mode].[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0" memberValueDatatype="7" unbalanced="0"/>
    <cacheHierarchy uniqueName="[Table2].[Transaction Status]" caption="Transaction Status" attribute="1" defaultMemberUniqueName="[Table2].[Transaction Status].[All]" allUniqueName="[Table2].[Transaction Status].[All]" dimensionUniqueName="[Table2]" displayFolder="" count="0" memberValueDatatype="130" unbalanced="0"/>
    <cacheHierarchy uniqueName="[Table2].[Balance After Txn]" caption="Balance After Txn" attribute="1" defaultMemberUniqueName="[Table2].[Balance After Txn].[All]" allUniqueName="[Table2].[Balance After Txn].[All]" dimensionUniqueName="[Table2]" displayFolder="" count="0" memberValueDatatype="5" unbalanced="0"/>
    <cacheHierarchy uniqueName="[Table2].[Is Fraud]" caption="Is Fraud" attribute="1" defaultMemberUniqueName="[Table2].[Is Fraud].[All]" allUniqueName="[Table2].[Is Fraud].[All]" dimensionUniqueName="[Table2]" displayFolder="" count="0" memberValueDatatype="130" unbalanced="0"/>
    <cacheHierarchy uniqueName="[Table2].[year_month]" caption="year_month" attribute="1" defaultMemberUniqueName="[Table2].[year_month].[All]" allUniqueName="[Table2].[year_month].[All]" dimensionUniqueName="[Table2]" displayFolder="" count="2" memberValueDatatype="130" unbalanced="0">
      <fieldsUsage count="2">
        <fieldUsage x="-1"/>
        <fieldUsage x="0"/>
      </fieldsUsage>
    </cacheHierarchy>
    <cacheHierarchy uniqueName="[Table2 Transaction ID].[Transaction ID]" caption="Transaction ID" attribute="1" defaultMemberUniqueName="[Table2 Transaction ID].[Transaction ID].[All]" allUniqueName="[Table2 Transaction ID].[Transaction ID].[All]" dimensionUniqueName="[Table2 Transaction ID]" displayFolder="" count="0"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1813310182" backgroundQuery="1" createdVersion="8" refreshedVersion="8" minRefreshableVersion="3" recordCount="0" supportSubquery="1" supportAdvancedDrill="1" xr:uid="{4CD5589E-E4A8-4C3E-96F7-BF1A7165798E}">
  <cacheSource type="external" connectionId="1"/>
  <cacheFields count="3">
    <cacheField name="[Table2].[Branch Name].[Branch Name]" caption="Branch Name" numFmtId="0" hierarchy="15" level="1">
      <sharedItems count="25">
        <s v="Ahmedabad Branch"/>
        <s v="Amritsar Branch"/>
        <s v="Bangalore Branch"/>
        <s v="Bhopal Branch"/>
        <s v="Bhubaneswar Branch"/>
        <s v="Chandigarh Branch"/>
        <s v="Chennai Branch"/>
        <s v="Coimbatore Branch"/>
        <s v="Delhi Branch"/>
        <s v="Guwahati Branch"/>
        <s v="Gwalior Branch"/>
        <s v="Hyderabad Branch"/>
        <s v="Indore Branch"/>
        <s v="Jabalpur Branch"/>
        <s v="Jaipur Branch"/>
        <s v="Kochi Branch"/>
        <s v="Kolkata Branch"/>
        <s v="Lucknow Branch"/>
        <s v="Mumbai Branch"/>
        <s v="Nagpur Branch"/>
        <s v="Patna Branch"/>
        <s v="Pune Branch"/>
        <s v="Raipur Branch"/>
        <s v="Ranchi Branch"/>
        <s v="Surat Branch"/>
      </sharedItems>
    </cacheField>
    <cacheField name="[Table2].[Is Fraud].[Is Fraud]" caption="Is Fraud" numFmtId="0" hierarchy="23" level="1">
      <sharedItems count="2">
        <s v="No"/>
        <s v="Yes"/>
      </sharedItems>
    </cacheField>
    <cacheField name="[Measures].[Count of Transaction ID]" caption="Count of Transaction ID" numFmtId="0" hierarchy="38" level="32767"/>
  </cacheFields>
  <cacheHierarchies count="44">
    <cacheHierarchy uniqueName="[Range].[year_month]" caption="year_month" attribute="1" defaultMemberUniqueName="[Range].[year_month].[All]" allUniqueName="[Range].[year_month].[All]" dimensionUniqueName="[Range]" displayFolder="" count="0" memberValueDatatype="130" unbalanced="0"/>
    <cacheHierarchy uniqueName="[Range 1].[Transaction ID]" caption="Transaction ID" attribute="1" defaultMemberUniqueName="[Range 1].[Transaction ID].[All]" allUniqueName="[Range 1].[Transaction ID].[All]" dimensionUniqueName="[Range 1]" displayFolder="" count="0" memberValueDatatype="130" unbalanced="0"/>
    <cacheHierarchy uniqueName="[Range 2].[Transaction Status]" caption="Transaction Status" attribute="1" defaultMemberUniqueName="[Range 2].[Transaction Status].[All]" allUniqueName="[Range 2].[Transaction Status].[All]" dimensionUniqueName="[Range 2]" displayFolder="" count="0" memberValueDatatype="130" unbalanced="0"/>
    <cacheHierarchy uniqueName="[Range 3].[UPI]" caption="UPI" attribute="1" defaultMemberUniqueName="[Range 3].[UPI].[All]" allUniqueName="[Range 3].[UPI].[All]" dimensionUniqueName="[Range 3]" displayFolder="" count="0" memberValueDatatype="130" unbalanced="0"/>
    <cacheHierarchy uniqueName="[Range 4].[Transaction Amount]" caption="Transaction Amount" attribute="1" defaultMemberUniqueName="[Range 4].[Transaction Amount].[All]" allUniqueName="[Range 4].[Transaction Amount].[All]" dimensionUniqueName="[Range 4]" displayFolder="" count="0" memberValueDatatype="5" unbalanced="0"/>
    <cacheHierarchy uniqueName="[Range 5].[City]" caption="City" attribute="1" defaultMemberUniqueName="[Range 5].[City].[All]" allUniqueName="[Range 5].[City].[All]" dimensionUniqueName="[Range 5]" displayFolder="" count="0" memberValueDatatype="130" unbalanced="0"/>
    <cacheHierarchy uniqueName="[Range 6].[Is Fraud]" caption="Is Fraud" attribute="1" defaultMemberUniqueName="[Range 6].[Is Fraud].[All]" allUniqueName="[Range 6].[Is Fraud].[All]" dimensionUniqueName="[Range 6]" displayFolder="" count="0" memberValueDatatype="130" unbalanced="0"/>
    <cacheHierarchy uniqueName="[Range 7].[Transaction Type]" caption="Transaction Type" attribute="1" defaultMemberUniqueName="[Range 7].[Transaction Type].[All]" allUniqueName="[Range 7].[Transaction Type].[All]" dimensionUniqueName="[Range 7]" displayFolder="" count="0" memberValueDatatype="130" unbalanced="0"/>
    <cacheHierarchy uniqueName="[Range 8].[Customer ID]" caption="Customer ID" attribute="1" defaultMemberUniqueName="[Range 8].[Customer ID].[All]" allUniqueName="[Range 8].[Customer ID].[All]" dimensionUniqueName="[Range 8]" displayFolder="" count="0" memberValueDatatype="20" unbalanced="0"/>
    <cacheHierarchy uniqueName="[Table2].[Transaction ID]" caption="Transaction ID" attribute="1" defaultMemberUniqueName="[Table2].[Transaction ID].[All]" allUniqueName="[Table2].[Transac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Account Number]" caption="Account Number" attribute="1" defaultMemberUniqueName="[Table2].[Account Number].[All]" allUniqueName="[Table2].[Account Number].[All]" dimensionUniqueName="[Table2]" displayFolder="" count="0" memberValueDatatype="5"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Branch Name]" caption="Branch Name" attribute="1" defaultMemberUniqueName="[Table2].[Branch Name].[All]" allUniqueName="[Table2].[Branch Name].[All]" dimensionUniqueName="[Table2]" displayFolder="" count="2" memberValueDatatype="130" unbalanced="0">
      <fieldsUsage count="2">
        <fieldUsage x="-1"/>
        <fieldUsage x="0"/>
      </fieldsUsage>
    </cacheHierarchy>
    <cacheHierarchy uniqueName="[Table2].[Account Type]" caption="Account Type" attribute="1" defaultMemberUniqueName="[Table2].[Account Type].[All]" allUniqueName="[Table2].[Account Type].[All]" dimensionUniqueName="[Table2]" displayFolder="" count="0" memberValueDatatype="130" unbalanced="0"/>
    <cacheHierarchy uniqueName="[Table2].[Transaction Type]" caption="Transaction Type" attribute="1" defaultMemberUniqueName="[Table2].[Transaction Type].[All]" allUniqueName="[Table2].[Transaction Type].[All]" dimensionUniqueName="[Table2]" displayFolder="" count="0" memberValueDatatype="130" unbalanced="0"/>
    <cacheHierarchy uniqueName="[Table2].[Transaction Amount]" caption="Transaction Amount" attribute="1" defaultMemberUniqueName="[Table2].[Transaction Amount].[All]" allUniqueName="[Table2].[Transaction Amount].[All]" dimensionUniqueName="[Table2]" displayFolder="" count="0" memberValueDatatype="5" unbalanced="0"/>
    <cacheHierarchy uniqueName="[Table2].[Payment Mode]" caption="Payment Mode" attribute="1" defaultMemberUniqueName="[Table2].[Payment Mode].[All]" allUniqueName="[Table2].[Payment Mode].[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0" memberValueDatatype="7" unbalanced="0"/>
    <cacheHierarchy uniqueName="[Table2].[Transaction Status]" caption="Transaction Status" attribute="1" defaultMemberUniqueName="[Table2].[Transaction Status].[All]" allUniqueName="[Table2].[Transaction Status].[All]" dimensionUniqueName="[Table2]" displayFolder="" count="0" memberValueDatatype="130" unbalanced="0"/>
    <cacheHierarchy uniqueName="[Table2].[Balance After Txn]" caption="Balance After Txn" attribute="1" defaultMemberUniqueName="[Table2].[Balance After Txn].[All]" allUniqueName="[Table2].[Balance After Txn].[All]" dimensionUniqueName="[Table2]" displayFolder="" count="0" memberValueDatatype="5" unbalanced="0"/>
    <cacheHierarchy uniqueName="[Table2].[Is Fraud]" caption="Is Fraud" attribute="1" defaultMemberUniqueName="[Table2].[Is Fraud].[All]" allUniqueName="[Table2].[Is Fraud].[All]" dimensionUniqueName="[Table2]" displayFolder="" count="2" memberValueDatatype="130" unbalanced="0">
      <fieldsUsage count="2">
        <fieldUsage x="-1"/>
        <fieldUsage x="1"/>
      </fieldsUsage>
    </cacheHierarchy>
    <cacheHierarchy uniqueName="[Table2].[year_month]" caption="year_month" attribute="1" defaultMemberUniqueName="[Table2].[year_month].[All]" allUniqueName="[Table2].[year_month].[All]" dimensionUniqueName="[Table2]" displayFolder="" count="0"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0"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1814351852" backgroundQuery="1" createdVersion="8" refreshedVersion="8" minRefreshableVersion="3" recordCount="0" supportSubquery="1" supportAdvancedDrill="1" xr:uid="{DD26EF45-E76D-4A0D-BB39-F5BF22B80251}">
  <cacheSource type="external" connectionId="1"/>
  <cacheFields count="4">
    <cacheField name="[Table2].[Is Fraud].[Is Fraud]" caption="Is Fraud" numFmtId="0" hierarchy="23" level="1">
      <sharedItems count="2">
        <s v="No"/>
        <s v="Yes"/>
      </sharedItems>
    </cacheField>
    <cacheField name="[Table2].[Transaction Type].[Transaction Type]" caption="Transaction Type" numFmtId="0" hierarchy="17" level="1">
      <sharedItems count="4">
        <s v="Cheque"/>
        <s v="Deposit"/>
        <s v="Online Transfer"/>
        <s v="Withdrawal"/>
      </sharedItems>
    </cacheField>
    <cacheField name="[Measures].[Count of Transaction ID]" caption="Count of Transaction ID" numFmtId="0" hierarchy="38" level="32767"/>
    <cacheField name="[Table2].[Branch Name].[Branch Name]" caption="Branch Name" numFmtId="0" hierarchy="15" level="1">
      <sharedItems containsSemiMixedTypes="0" containsNonDate="0" containsString="0"/>
    </cacheField>
  </cacheFields>
  <cacheHierarchies count="44">
    <cacheHierarchy uniqueName="[Range].[year_month]" caption="year_month" attribute="1" defaultMemberUniqueName="[Range].[year_month].[All]" allUniqueName="[Range].[year_month].[All]" dimensionUniqueName="[Range]" displayFolder="" count="0" memberValueDatatype="130" unbalanced="0"/>
    <cacheHierarchy uniqueName="[Range 1].[Transaction ID]" caption="Transaction ID" attribute="1" defaultMemberUniqueName="[Range 1].[Transaction ID].[All]" allUniqueName="[Range 1].[Transaction ID].[All]" dimensionUniqueName="[Range 1]" displayFolder="" count="0" memberValueDatatype="130" unbalanced="0"/>
    <cacheHierarchy uniqueName="[Range 2].[Transaction Status]" caption="Transaction Status" attribute="1" defaultMemberUniqueName="[Range 2].[Transaction Status].[All]" allUniqueName="[Range 2].[Transaction Status].[All]" dimensionUniqueName="[Range 2]" displayFolder="" count="0" memberValueDatatype="130" unbalanced="0"/>
    <cacheHierarchy uniqueName="[Range 3].[UPI]" caption="UPI" attribute="1" defaultMemberUniqueName="[Range 3].[UPI].[All]" allUniqueName="[Range 3].[UPI].[All]" dimensionUniqueName="[Range 3]" displayFolder="" count="0" memberValueDatatype="130" unbalanced="0"/>
    <cacheHierarchy uniqueName="[Range 4].[Transaction Amount]" caption="Transaction Amount" attribute="1" defaultMemberUniqueName="[Range 4].[Transaction Amount].[All]" allUniqueName="[Range 4].[Transaction Amount].[All]" dimensionUniqueName="[Range 4]" displayFolder="" count="0" memberValueDatatype="5" unbalanced="0"/>
    <cacheHierarchy uniqueName="[Range 5].[City]" caption="City" attribute="1" defaultMemberUniqueName="[Range 5].[City].[All]" allUniqueName="[Range 5].[City].[All]" dimensionUniqueName="[Range 5]" displayFolder="" count="0" memberValueDatatype="130" unbalanced="0"/>
    <cacheHierarchy uniqueName="[Range 6].[Is Fraud]" caption="Is Fraud" attribute="1" defaultMemberUniqueName="[Range 6].[Is Fraud].[All]" allUniqueName="[Range 6].[Is Fraud].[All]" dimensionUniqueName="[Range 6]" displayFolder="" count="0" memberValueDatatype="130" unbalanced="0"/>
    <cacheHierarchy uniqueName="[Range 7].[Transaction Type]" caption="Transaction Type" attribute="1" defaultMemberUniqueName="[Range 7].[Transaction Type].[All]" allUniqueName="[Range 7].[Transaction Type].[All]" dimensionUniqueName="[Range 7]" displayFolder="" count="0" memberValueDatatype="130" unbalanced="0"/>
    <cacheHierarchy uniqueName="[Range 8].[Customer ID]" caption="Customer ID" attribute="1" defaultMemberUniqueName="[Range 8].[Customer ID].[All]" allUniqueName="[Range 8].[Customer ID].[All]" dimensionUniqueName="[Range 8]" displayFolder="" count="0" memberValueDatatype="20" unbalanced="0"/>
    <cacheHierarchy uniqueName="[Table2].[Transaction ID]" caption="Transaction ID" attribute="1" defaultMemberUniqueName="[Table2].[Transaction ID].[All]" allUniqueName="[Table2].[Transac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Account Number]" caption="Account Number" attribute="1" defaultMemberUniqueName="[Table2].[Account Number].[All]" allUniqueName="[Table2].[Account Number].[All]" dimensionUniqueName="[Table2]" displayFolder="" count="0" memberValueDatatype="5"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Branch Name]" caption="Branch Name" attribute="1" defaultMemberUniqueName="[Table2].[Branch Name].[All]" allUniqueName="[Table2].[Branch Name].[All]" dimensionUniqueName="[Table2]" displayFolder="" count="2" memberValueDatatype="130" unbalanced="0">
      <fieldsUsage count="2">
        <fieldUsage x="-1"/>
        <fieldUsage x="3"/>
      </fieldsUsage>
    </cacheHierarchy>
    <cacheHierarchy uniqueName="[Table2].[Account Type]" caption="Account Type" attribute="1" defaultMemberUniqueName="[Table2].[Account Type].[All]" allUniqueName="[Table2].[Account Type].[All]" dimensionUniqueName="[Table2]" displayFolder="" count="0"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fieldsUsage count="2">
        <fieldUsage x="-1"/>
        <fieldUsage x="1"/>
      </fieldsUsage>
    </cacheHierarchy>
    <cacheHierarchy uniqueName="[Table2].[Transaction Amount]" caption="Transaction Amount" attribute="1" defaultMemberUniqueName="[Table2].[Transaction Amount].[All]" allUniqueName="[Table2].[Transaction Amount].[All]" dimensionUniqueName="[Table2]" displayFolder="" count="0" memberValueDatatype="5" unbalanced="0"/>
    <cacheHierarchy uniqueName="[Table2].[Payment Mode]" caption="Payment Mode" attribute="1" defaultMemberUniqueName="[Table2].[Payment Mode].[All]" allUniqueName="[Table2].[Payment Mode].[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0" memberValueDatatype="7" unbalanced="0"/>
    <cacheHierarchy uniqueName="[Table2].[Transaction Status]" caption="Transaction Status" attribute="1" defaultMemberUniqueName="[Table2].[Transaction Status].[All]" allUniqueName="[Table2].[Transaction Status].[All]" dimensionUniqueName="[Table2]" displayFolder="" count="0" memberValueDatatype="130" unbalanced="0"/>
    <cacheHierarchy uniqueName="[Table2].[Balance After Txn]" caption="Balance After Txn" attribute="1" defaultMemberUniqueName="[Table2].[Balance After Txn].[All]" allUniqueName="[Table2].[Balance After Txn].[All]" dimensionUniqueName="[Table2]" displayFolder="" count="0" memberValueDatatype="5" unbalanced="0"/>
    <cacheHierarchy uniqueName="[Table2].[Is Fraud]" caption="Is Fraud" attribute="1" defaultMemberUniqueName="[Table2].[Is Fraud].[All]" allUniqueName="[Table2].[Is Fraud].[All]" dimensionUniqueName="[Table2]" displayFolder="" count="2" memberValueDatatype="130" unbalanced="0">
      <fieldsUsage count="2">
        <fieldUsage x="-1"/>
        <fieldUsage x="0"/>
      </fieldsUsage>
    </cacheHierarchy>
    <cacheHierarchy uniqueName="[Table2].[year_month]" caption="year_month" attribute="1" defaultMemberUniqueName="[Table2].[year_month].[All]" allUniqueName="[Table2].[year_month].[All]" dimensionUniqueName="[Table2]" displayFolder="" count="0"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0"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181550926" backgroundQuery="1" createdVersion="8" refreshedVersion="8" minRefreshableVersion="3" recordCount="0" supportSubquery="1" supportAdvancedDrill="1" xr:uid="{44E8935C-219B-4F29-A77B-0FBFA8E4ADBB}">
  <cacheSource type="external" connectionId="1"/>
  <cacheFields count="3">
    <cacheField name="[Table2].[Customer ID].[Customer ID]" caption="Customer ID" numFmtId="0" hierarchy="10" level="1">
      <sharedItems containsSemiMixedTypes="0" containsString="0" containsNumber="1" containsInteger="1" minValue="100803" maxValue="999369" count="500">
        <n v="100803"/>
        <n v="102739"/>
        <n v="103977"/>
        <n v="105013"/>
        <n v="107172"/>
        <n v="111146"/>
        <n v="112063"/>
        <n v="113883"/>
        <n v="114174"/>
        <n v="116476"/>
        <n v="116982"/>
        <n v="117469"/>
        <n v="117914"/>
        <n v="118796"/>
        <n v="123451"/>
        <n v="124171"/>
        <n v="128077"/>
        <n v="128757"/>
        <n v="129665"/>
        <n v="130029"/>
        <n v="130377"/>
        <n v="132455"/>
        <n v="134765"/>
        <n v="139106"/>
        <n v="143218"/>
        <n v="146344"/>
        <n v="147203"/>
        <n v="147276"/>
        <n v="149140"/>
        <n v="150512"/>
        <n v="153582"/>
        <n v="154017"/>
        <n v="155745"/>
        <n v="155800"/>
        <n v="155828"/>
        <n v="156081"/>
        <n v="156651"/>
        <n v="159266"/>
        <n v="161024"/>
        <n v="163530"/>
        <n v="163591"/>
        <n v="167371"/>
        <n v="167811"/>
        <n v="171459"/>
        <n v="171990"/>
        <n v="172968"/>
        <n v="172992"/>
        <n v="178161"/>
        <n v="179518"/>
        <n v="179714"/>
        <n v="181715"/>
        <n v="181978"/>
        <n v="182090"/>
        <n v="182726"/>
        <n v="185724"/>
        <n v="186325"/>
        <n v="187594"/>
        <n v="194074"/>
        <n v="194555"/>
        <n v="196451"/>
        <n v="196463"/>
        <n v="209976"/>
        <n v="212429"/>
        <n v="217181"/>
        <n v="219887"/>
        <n v="222331"/>
        <n v="223350"/>
        <n v="223517"/>
        <n v="223924"/>
        <n v="223991"/>
        <n v="224498"/>
        <n v="224857"/>
        <n v="227576"/>
        <n v="232569"/>
        <n v="240183"/>
        <n v="240903"/>
        <n v="245396"/>
        <n v="246445"/>
        <n v="247151"/>
        <n v="247721"/>
        <n v="256689"/>
        <n v="256851"/>
        <n v="258410"/>
        <n v="264651"/>
        <n v="265807"/>
        <n v="268498"/>
        <n v="270470"/>
        <n v="273869"/>
        <n v="275035"/>
        <n v="275383"/>
        <n v="282725"/>
        <n v="286469"/>
        <n v="287130"/>
        <n v="288231"/>
        <n v="294793"/>
        <n v="295399"/>
        <n v="298244"/>
        <n v="300670"/>
        <n v="303217"/>
        <n v="303453"/>
        <n v="308373"/>
        <n v="310437"/>
        <n v="311363"/>
        <n v="313682"/>
        <n v="314894"/>
        <n v="316483"/>
        <n v="316547"/>
        <n v="317781"/>
        <n v="322365"/>
        <n v="325170"/>
        <n v="330179"/>
        <n v="330649"/>
        <n v="332907"/>
        <n v="334036"/>
        <n v="334468"/>
        <n v="335618"/>
        <n v="339747"/>
        <n v="343315"/>
        <n v="344715"/>
        <n v="350891"/>
        <n v="355753"/>
        <n v="356658"/>
        <n v="358049"/>
        <n v="361462"/>
        <n v="362079"/>
        <n v="362469"/>
        <n v="363910"/>
        <n v="364377"/>
        <n v="365649"/>
        <n v="366999"/>
        <n v="367162"/>
        <n v="372542"/>
        <n v="372576"/>
        <n v="373993"/>
        <n v="374263"/>
        <n v="378722"/>
        <n v="381958"/>
        <n v="382042"/>
        <n v="384060"/>
        <n v="387939"/>
        <n v="390792"/>
        <n v="390841"/>
        <n v="392320"/>
        <n v="392598"/>
        <n v="396948"/>
        <n v="404602"/>
        <n v="405161"/>
        <n v="405648"/>
        <n v="405881"/>
        <n v="407754"/>
        <n v="408340"/>
        <n v="408467"/>
        <n v="409256"/>
        <n v="409468"/>
        <n v="411009"/>
        <n v="415091"/>
        <n v="417871"/>
        <n v="421539"/>
        <n v="423000"/>
        <n v="426604"/>
        <n v="427315"/>
        <n v="427894"/>
        <n v="429704"/>
        <n v="430975"/>
        <n v="432558"/>
        <n v="433063"/>
        <n v="433250"/>
        <n v="433578"/>
        <n v="433879"/>
        <n v="434987"/>
        <n v="436075"/>
        <n v="438809"/>
        <n v="439411"/>
        <n v="441139"/>
        <n v="441216"/>
        <n v="445390"/>
        <n v="446826"/>
        <n v="449494"/>
        <n v="450272"/>
        <n v="453621"/>
        <n v="453699"/>
        <n v="454612"/>
        <n v="457761"/>
        <n v="459550"/>
        <n v="459857"/>
        <n v="460288"/>
        <n v="460707"/>
        <n v="462822"/>
        <n v="464154"/>
        <n v="464910"/>
        <n v="466409"/>
        <n v="473260"/>
        <n v="473572"/>
        <n v="475202"/>
        <n v="475616"/>
        <n v="479530"/>
        <n v="479949"/>
        <n v="481552"/>
        <n v="489951"/>
        <n v="490738"/>
        <n v="492092"/>
        <n v="504669"/>
        <n v="507147"/>
        <n v="507234"/>
        <n v="509024"/>
        <n v="509182"/>
        <n v="509505"/>
        <n v="514407"/>
        <n v="516447"/>
        <n v="518914"/>
        <n v="520243"/>
        <n v="521810"/>
        <n v="523936"/>
        <n v="523970"/>
        <n v="524156"/>
        <n v="524813"/>
        <n v="528399"/>
        <n v="529371"/>
        <n v="530475"/>
        <n v="531859"/>
        <n v="533034"/>
        <n v="533366"/>
        <n v="533757"/>
        <n v="534364"/>
        <n v="536413"/>
        <n v="538077"/>
        <n v="539350"/>
        <n v="544498"/>
        <n v="544541"/>
        <n v="545234"/>
        <n v="545452"/>
        <n v="547953"/>
        <n v="552388"/>
        <n v="552695"/>
        <n v="553618"/>
        <n v="555371"/>
        <n v="557246"/>
        <n v="560593"/>
        <n v="561029"/>
        <n v="563828"/>
        <n v="564685"/>
        <n v="564962"/>
        <n v="565614"/>
        <n v="565942"/>
        <n v="567678"/>
        <n v="567798"/>
        <n v="568353"/>
        <n v="568609"/>
        <n v="568881"/>
        <n v="569629"/>
        <n v="569704"/>
        <n v="570485"/>
        <n v="570696"/>
        <n v="572980"/>
        <n v="575179"/>
        <n v="578684"/>
        <n v="579752"/>
        <n v="579900"/>
        <n v="584031"/>
        <n v="585434"/>
        <n v="586706"/>
        <n v="588946"/>
        <n v="592263"/>
        <n v="592501"/>
        <n v="595797"/>
        <n v="596468"/>
        <n v="599905"/>
        <n v="603602"/>
        <n v="605524"/>
        <n v="612319"/>
        <n v="613463"/>
        <n v="615769"/>
        <n v="615941"/>
        <n v="618099"/>
        <n v="619316"/>
        <n v="621252"/>
        <n v="624419"/>
        <n v="627322"/>
        <n v="627945"/>
        <n v="630575"/>
        <n v="633665"/>
        <n v="634610"/>
        <n v="638327"/>
        <n v="647407"/>
        <n v="647451"/>
        <n v="648879"/>
        <n v="649852"/>
        <n v="651220"/>
        <n v="651973"/>
        <n v="652501"/>
        <n v="653047"/>
        <n v="655225"/>
        <n v="658891"/>
        <n v="658908"/>
        <n v="659251"/>
        <n v="659674"/>
        <n v="661610"/>
        <n v="661975"/>
        <n v="665314"/>
        <n v="672763"/>
        <n v="674437"/>
        <n v="674507"/>
        <n v="675778"/>
        <n v="675784"/>
        <n v="677618"/>
        <n v="678961"/>
        <n v="679021"/>
        <n v="682271"/>
        <n v="683367"/>
        <n v="683741"/>
        <n v="684987"/>
        <n v="685188"/>
        <n v="689047"/>
        <n v="689621"/>
        <n v="690301"/>
        <n v="690626"/>
        <n v="690698"/>
        <n v="691233"/>
        <n v="692379"/>
        <n v="693194"/>
        <n v="694119"/>
        <n v="695378"/>
        <n v="700274"/>
        <n v="704096"/>
        <n v="706008"/>
        <n v="709387"/>
        <n v="712345"/>
        <n v="713748"/>
        <n v="716285"/>
        <n v="718015"/>
        <n v="718531"/>
        <n v="718664"/>
        <n v="721340"/>
        <n v="722523"/>
        <n v="725385"/>
        <n v="725646"/>
        <n v="726225"/>
        <n v="727196"/>
        <n v="727634"/>
        <n v="728256"/>
        <n v="730030"/>
        <n v="731100"/>
        <n v="734296"/>
        <n v="737238"/>
        <n v="740300"/>
        <n v="740305"/>
        <n v="743304"/>
        <n v="749260"/>
        <n v="749572"/>
        <n v="751030"/>
        <n v="752028"/>
        <n v="752827"/>
        <n v="760603"/>
        <n v="761621"/>
        <n v="761846"/>
        <n v="764808"/>
        <n v="764919"/>
        <n v="765487"/>
        <n v="767001"/>
        <n v="767038"/>
        <n v="768984"/>
        <n v="770075"/>
        <n v="771785"/>
        <n v="772937"/>
        <n v="772989"/>
        <n v="774637"/>
        <n v="775026"/>
        <n v="775874"/>
        <n v="776252"/>
        <n v="779817"/>
        <n v="780768"/>
        <n v="780928"/>
        <n v="784041"/>
        <n v="787015"/>
        <n v="792044"/>
        <n v="792128"/>
        <n v="795373"/>
        <n v="798832"/>
        <n v="801581"/>
        <n v="802444"/>
        <n v="805755"/>
        <n v="806467"/>
        <n v="807933"/>
        <n v="809306"/>
        <n v="812461"/>
        <n v="814098"/>
        <n v="815415"/>
        <n v="817632"/>
        <n v="818431"/>
        <n v="818603"/>
        <n v="820049"/>
        <n v="826365"/>
        <n v="829378"/>
        <n v="833709"/>
        <n v="835355"/>
        <n v="837453"/>
        <n v="840177"/>
        <n v="841087"/>
        <n v="842079"/>
        <n v="842640"/>
        <n v="843102"/>
        <n v="846632"/>
        <n v="850255"/>
        <n v="851257"/>
        <n v="851296"/>
        <n v="853516"/>
        <n v="853995"/>
        <n v="854536"/>
        <n v="855681"/>
        <n v="856677"/>
        <n v="860759"/>
        <n v="861387"/>
        <n v="861891"/>
        <n v="866770"/>
        <n v="866889"/>
        <n v="869806"/>
        <n v="870440"/>
        <n v="870636"/>
        <n v="870934"/>
        <n v="875642"/>
        <n v="876150"/>
        <n v="877399"/>
        <n v="879301"/>
        <n v="879380"/>
        <n v="881741"/>
        <n v="882387"/>
        <n v="882580"/>
        <n v="883947"/>
        <n v="888086"/>
        <n v="888870"/>
        <n v="893415"/>
        <n v="894189"/>
        <n v="894517"/>
        <n v="895736"/>
        <n v="896301"/>
        <n v="897276"/>
        <n v="900676"/>
        <n v="901380"/>
        <n v="903080"/>
        <n v="904317"/>
        <n v="908804"/>
        <n v="910508"/>
        <n v="915152"/>
        <n v="915727"/>
        <n v="916141"/>
        <n v="916524"/>
        <n v="916955"/>
        <n v="923020"/>
        <n v="927818"/>
        <n v="929089"/>
        <n v="930330"/>
        <n v="931835"/>
        <n v="932665"/>
        <n v="934360"/>
        <n v="935158"/>
        <n v="935644"/>
        <n v="937519"/>
        <n v="941406"/>
        <n v="942595"/>
        <n v="943899"/>
        <n v="944525"/>
        <n v="945035"/>
        <n v="945657"/>
        <n v="945986"/>
        <n v="946247"/>
        <n v="946300"/>
        <n v="946700"/>
        <n v="948408"/>
        <n v="953804"/>
        <n v="954780"/>
        <n v="955248"/>
        <n v="955961"/>
        <n v="957981"/>
        <n v="959323"/>
        <n v="961459"/>
        <n v="962182"/>
        <n v="964477"/>
        <n v="965955"/>
        <n v="969262"/>
        <n v="969821"/>
        <n v="970064"/>
        <n v="973241"/>
        <n v="973339"/>
        <n v="975319"/>
        <n v="977193"/>
        <n v="978283"/>
        <n v="978548"/>
        <n v="980642"/>
        <n v="981665"/>
        <n v="981915"/>
        <n v="982731"/>
        <n v="985381"/>
        <n v="987879"/>
        <n v="989374"/>
        <n v="989898"/>
        <n v="990194"/>
        <n v="990243"/>
        <n v="994371"/>
        <n v="995453"/>
        <n v="999369"/>
      </sharedItems>
      <extLst>
        <ext xmlns:x15="http://schemas.microsoft.com/office/spreadsheetml/2010/11/main" uri="{4F2E5C28-24EA-4eb8-9CBF-B6C8F9C3D259}">
          <x15:cachedUniqueNames>
            <x15:cachedUniqueName index="0" name="[Table2].[Customer ID].&amp;[100803]"/>
            <x15:cachedUniqueName index="1" name="[Table2].[Customer ID].&amp;[102739]"/>
            <x15:cachedUniqueName index="2" name="[Table2].[Customer ID].&amp;[103977]"/>
            <x15:cachedUniqueName index="3" name="[Table2].[Customer ID].&amp;[105013]"/>
            <x15:cachedUniqueName index="4" name="[Table2].[Customer ID].&amp;[107172]"/>
            <x15:cachedUniqueName index="5" name="[Table2].[Customer ID].&amp;[111146]"/>
            <x15:cachedUniqueName index="6" name="[Table2].[Customer ID].&amp;[112063]"/>
            <x15:cachedUniqueName index="7" name="[Table2].[Customer ID].&amp;[113883]"/>
            <x15:cachedUniqueName index="8" name="[Table2].[Customer ID].&amp;[114174]"/>
            <x15:cachedUniqueName index="9" name="[Table2].[Customer ID].&amp;[116476]"/>
            <x15:cachedUniqueName index="10" name="[Table2].[Customer ID].&amp;[116982]"/>
            <x15:cachedUniqueName index="11" name="[Table2].[Customer ID].&amp;[117469]"/>
            <x15:cachedUniqueName index="12" name="[Table2].[Customer ID].&amp;[117914]"/>
            <x15:cachedUniqueName index="13" name="[Table2].[Customer ID].&amp;[118796]"/>
            <x15:cachedUniqueName index="14" name="[Table2].[Customer ID].&amp;[123451]"/>
            <x15:cachedUniqueName index="15" name="[Table2].[Customer ID].&amp;[124171]"/>
            <x15:cachedUniqueName index="16" name="[Table2].[Customer ID].&amp;[128077]"/>
            <x15:cachedUniqueName index="17" name="[Table2].[Customer ID].&amp;[128757]"/>
            <x15:cachedUniqueName index="18" name="[Table2].[Customer ID].&amp;[129665]"/>
            <x15:cachedUniqueName index="19" name="[Table2].[Customer ID].&amp;[130029]"/>
            <x15:cachedUniqueName index="20" name="[Table2].[Customer ID].&amp;[130377]"/>
            <x15:cachedUniqueName index="21" name="[Table2].[Customer ID].&amp;[132455]"/>
            <x15:cachedUniqueName index="22" name="[Table2].[Customer ID].&amp;[134765]"/>
            <x15:cachedUniqueName index="23" name="[Table2].[Customer ID].&amp;[139106]"/>
            <x15:cachedUniqueName index="24" name="[Table2].[Customer ID].&amp;[143218]"/>
            <x15:cachedUniqueName index="25" name="[Table2].[Customer ID].&amp;[146344]"/>
            <x15:cachedUniqueName index="26" name="[Table2].[Customer ID].&amp;[147203]"/>
            <x15:cachedUniqueName index="27" name="[Table2].[Customer ID].&amp;[147276]"/>
            <x15:cachedUniqueName index="28" name="[Table2].[Customer ID].&amp;[149140]"/>
            <x15:cachedUniqueName index="29" name="[Table2].[Customer ID].&amp;[150512]"/>
            <x15:cachedUniqueName index="30" name="[Table2].[Customer ID].&amp;[153582]"/>
            <x15:cachedUniqueName index="31" name="[Table2].[Customer ID].&amp;[154017]"/>
            <x15:cachedUniqueName index="32" name="[Table2].[Customer ID].&amp;[155745]"/>
            <x15:cachedUniqueName index="33" name="[Table2].[Customer ID].&amp;[155800]"/>
            <x15:cachedUniqueName index="34" name="[Table2].[Customer ID].&amp;[155828]"/>
            <x15:cachedUniqueName index="35" name="[Table2].[Customer ID].&amp;[156081]"/>
            <x15:cachedUniqueName index="36" name="[Table2].[Customer ID].&amp;[156651]"/>
            <x15:cachedUniqueName index="37" name="[Table2].[Customer ID].&amp;[159266]"/>
            <x15:cachedUniqueName index="38" name="[Table2].[Customer ID].&amp;[161024]"/>
            <x15:cachedUniqueName index="39" name="[Table2].[Customer ID].&amp;[163530]"/>
            <x15:cachedUniqueName index="40" name="[Table2].[Customer ID].&amp;[163591]"/>
            <x15:cachedUniqueName index="41" name="[Table2].[Customer ID].&amp;[167371]"/>
            <x15:cachedUniqueName index="42" name="[Table2].[Customer ID].&amp;[167811]"/>
            <x15:cachedUniqueName index="43" name="[Table2].[Customer ID].&amp;[171459]"/>
            <x15:cachedUniqueName index="44" name="[Table2].[Customer ID].&amp;[171990]"/>
            <x15:cachedUniqueName index="45" name="[Table2].[Customer ID].&amp;[172968]"/>
            <x15:cachedUniqueName index="46" name="[Table2].[Customer ID].&amp;[172992]"/>
            <x15:cachedUniqueName index="47" name="[Table2].[Customer ID].&amp;[178161]"/>
            <x15:cachedUniqueName index="48" name="[Table2].[Customer ID].&amp;[179518]"/>
            <x15:cachedUniqueName index="49" name="[Table2].[Customer ID].&amp;[179714]"/>
            <x15:cachedUniqueName index="50" name="[Table2].[Customer ID].&amp;[181715]"/>
            <x15:cachedUniqueName index="51" name="[Table2].[Customer ID].&amp;[181978]"/>
            <x15:cachedUniqueName index="52" name="[Table2].[Customer ID].&amp;[182090]"/>
            <x15:cachedUniqueName index="53" name="[Table2].[Customer ID].&amp;[182726]"/>
            <x15:cachedUniqueName index="54" name="[Table2].[Customer ID].&amp;[185724]"/>
            <x15:cachedUniqueName index="55" name="[Table2].[Customer ID].&amp;[186325]"/>
            <x15:cachedUniqueName index="56" name="[Table2].[Customer ID].&amp;[187594]"/>
            <x15:cachedUniqueName index="57" name="[Table2].[Customer ID].&amp;[194074]"/>
            <x15:cachedUniqueName index="58" name="[Table2].[Customer ID].&amp;[194555]"/>
            <x15:cachedUniqueName index="59" name="[Table2].[Customer ID].&amp;[196451]"/>
            <x15:cachedUniqueName index="60" name="[Table2].[Customer ID].&amp;[196463]"/>
            <x15:cachedUniqueName index="61" name="[Table2].[Customer ID].&amp;[209976]"/>
            <x15:cachedUniqueName index="62" name="[Table2].[Customer ID].&amp;[212429]"/>
            <x15:cachedUniqueName index="63" name="[Table2].[Customer ID].&amp;[217181]"/>
            <x15:cachedUniqueName index="64" name="[Table2].[Customer ID].&amp;[219887]"/>
            <x15:cachedUniqueName index="65" name="[Table2].[Customer ID].&amp;[222331]"/>
            <x15:cachedUniqueName index="66" name="[Table2].[Customer ID].&amp;[223350]"/>
            <x15:cachedUniqueName index="67" name="[Table2].[Customer ID].&amp;[223517]"/>
            <x15:cachedUniqueName index="68" name="[Table2].[Customer ID].&amp;[223924]"/>
            <x15:cachedUniqueName index="69" name="[Table2].[Customer ID].&amp;[223991]"/>
            <x15:cachedUniqueName index="70" name="[Table2].[Customer ID].&amp;[224498]"/>
            <x15:cachedUniqueName index="71" name="[Table2].[Customer ID].&amp;[224857]"/>
            <x15:cachedUniqueName index="72" name="[Table2].[Customer ID].&amp;[227576]"/>
            <x15:cachedUniqueName index="73" name="[Table2].[Customer ID].&amp;[232569]"/>
            <x15:cachedUniqueName index="74" name="[Table2].[Customer ID].&amp;[240183]"/>
            <x15:cachedUniqueName index="75" name="[Table2].[Customer ID].&amp;[240903]"/>
            <x15:cachedUniqueName index="76" name="[Table2].[Customer ID].&amp;[245396]"/>
            <x15:cachedUniqueName index="77" name="[Table2].[Customer ID].&amp;[246445]"/>
            <x15:cachedUniqueName index="78" name="[Table2].[Customer ID].&amp;[247151]"/>
            <x15:cachedUniqueName index="79" name="[Table2].[Customer ID].&amp;[247721]"/>
            <x15:cachedUniqueName index="80" name="[Table2].[Customer ID].&amp;[256689]"/>
            <x15:cachedUniqueName index="81" name="[Table2].[Customer ID].&amp;[256851]"/>
            <x15:cachedUniqueName index="82" name="[Table2].[Customer ID].&amp;[258410]"/>
            <x15:cachedUniqueName index="83" name="[Table2].[Customer ID].&amp;[264651]"/>
            <x15:cachedUniqueName index="84" name="[Table2].[Customer ID].&amp;[265807]"/>
            <x15:cachedUniqueName index="85" name="[Table2].[Customer ID].&amp;[268498]"/>
            <x15:cachedUniqueName index="86" name="[Table2].[Customer ID].&amp;[270470]"/>
            <x15:cachedUniqueName index="87" name="[Table2].[Customer ID].&amp;[273869]"/>
            <x15:cachedUniqueName index="88" name="[Table2].[Customer ID].&amp;[275035]"/>
            <x15:cachedUniqueName index="89" name="[Table2].[Customer ID].&amp;[275383]"/>
            <x15:cachedUniqueName index="90" name="[Table2].[Customer ID].&amp;[282725]"/>
            <x15:cachedUniqueName index="91" name="[Table2].[Customer ID].&amp;[286469]"/>
            <x15:cachedUniqueName index="92" name="[Table2].[Customer ID].&amp;[287130]"/>
            <x15:cachedUniqueName index="93" name="[Table2].[Customer ID].&amp;[288231]"/>
            <x15:cachedUniqueName index="94" name="[Table2].[Customer ID].&amp;[294793]"/>
            <x15:cachedUniqueName index="95" name="[Table2].[Customer ID].&amp;[295399]"/>
            <x15:cachedUniqueName index="96" name="[Table2].[Customer ID].&amp;[298244]"/>
            <x15:cachedUniqueName index="97" name="[Table2].[Customer ID].&amp;[300670]"/>
            <x15:cachedUniqueName index="98" name="[Table2].[Customer ID].&amp;[303217]"/>
            <x15:cachedUniqueName index="99" name="[Table2].[Customer ID].&amp;[303453]"/>
            <x15:cachedUniqueName index="100" name="[Table2].[Customer ID].&amp;[308373]"/>
            <x15:cachedUniqueName index="101" name="[Table2].[Customer ID].&amp;[310437]"/>
            <x15:cachedUniqueName index="102" name="[Table2].[Customer ID].&amp;[311363]"/>
            <x15:cachedUniqueName index="103" name="[Table2].[Customer ID].&amp;[313682]"/>
            <x15:cachedUniqueName index="104" name="[Table2].[Customer ID].&amp;[314894]"/>
            <x15:cachedUniqueName index="105" name="[Table2].[Customer ID].&amp;[316483]"/>
            <x15:cachedUniqueName index="106" name="[Table2].[Customer ID].&amp;[316547]"/>
            <x15:cachedUniqueName index="107" name="[Table2].[Customer ID].&amp;[317781]"/>
            <x15:cachedUniqueName index="108" name="[Table2].[Customer ID].&amp;[322365]"/>
            <x15:cachedUniqueName index="109" name="[Table2].[Customer ID].&amp;[325170]"/>
            <x15:cachedUniqueName index="110" name="[Table2].[Customer ID].&amp;[330179]"/>
            <x15:cachedUniqueName index="111" name="[Table2].[Customer ID].&amp;[330649]"/>
            <x15:cachedUniqueName index="112" name="[Table2].[Customer ID].&amp;[332907]"/>
            <x15:cachedUniqueName index="113" name="[Table2].[Customer ID].&amp;[334036]"/>
            <x15:cachedUniqueName index="114" name="[Table2].[Customer ID].&amp;[334468]"/>
            <x15:cachedUniqueName index="115" name="[Table2].[Customer ID].&amp;[335618]"/>
            <x15:cachedUniqueName index="116" name="[Table2].[Customer ID].&amp;[339747]"/>
            <x15:cachedUniqueName index="117" name="[Table2].[Customer ID].&amp;[343315]"/>
            <x15:cachedUniqueName index="118" name="[Table2].[Customer ID].&amp;[344715]"/>
            <x15:cachedUniqueName index="119" name="[Table2].[Customer ID].&amp;[350891]"/>
            <x15:cachedUniqueName index="120" name="[Table2].[Customer ID].&amp;[355753]"/>
            <x15:cachedUniqueName index="121" name="[Table2].[Customer ID].&amp;[356658]"/>
            <x15:cachedUniqueName index="122" name="[Table2].[Customer ID].&amp;[358049]"/>
            <x15:cachedUniqueName index="123" name="[Table2].[Customer ID].&amp;[361462]"/>
            <x15:cachedUniqueName index="124" name="[Table2].[Customer ID].&amp;[362079]"/>
            <x15:cachedUniqueName index="125" name="[Table2].[Customer ID].&amp;[362469]"/>
            <x15:cachedUniqueName index="126" name="[Table2].[Customer ID].&amp;[363910]"/>
            <x15:cachedUniqueName index="127" name="[Table2].[Customer ID].&amp;[364377]"/>
            <x15:cachedUniqueName index="128" name="[Table2].[Customer ID].&amp;[365649]"/>
            <x15:cachedUniqueName index="129" name="[Table2].[Customer ID].&amp;[366999]"/>
            <x15:cachedUniqueName index="130" name="[Table2].[Customer ID].&amp;[367162]"/>
            <x15:cachedUniqueName index="131" name="[Table2].[Customer ID].&amp;[372542]"/>
            <x15:cachedUniqueName index="132" name="[Table2].[Customer ID].&amp;[372576]"/>
            <x15:cachedUniqueName index="133" name="[Table2].[Customer ID].&amp;[373993]"/>
            <x15:cachedUniqueName index="134" name="[Table2].[Customer ID].&amp;[374263]"/>
            <x15:cachedUniqueName index="135" name="[Table2].[Customer ID].&amp;[378722]"/>
            <x15:cachedUniqueName index="136" name="[Table2].[Customer ID].&amp;[381958]"/>
            <x15:cachedUniqueName index="137" name="[Table2].[Customer ID].&amp;[382042]"/>
            <x15:cachedUniqueName index="138" name="[Table2].[Customer ID].&amp;[384060]"/>
            <x15:cachedUniqueName index="139" name="[Table2].[Customer ID].&amp;[387939]"/>
            <x15:cachedUniqueName index="140" name="[Table2].[Customer ID].&amp;[390792]"/>
            <x15:cachedUniqueName index="141" name="[Table2].[Customer ID].&amp;[390841]"/>
            <x15:cachedUniqueName index="142" name="[Table2].[Customer ID].&amp;[392320]"/>
            <x15:cachedUniqueName index="143" name="[Table2].[Customer ID].&amp;[392598]"/>
            <x15:cachedUniqueName index="144" name="[Table2].[Customer ID].&amp;[396948]"/>
            <x15:cachedUniqueName index="145" name="[Table2].[Customer ID].&amp;[404602]"/>
            <x15:cachedUniqueName index="146" name="[Table2].[Customer ID].&amp;[405161]"/>
            <x15:cachedUniqueName index="147" name="[Table2].[Customer ID].&amp;[405648]"/>
            <x15:cachedUniqueName index="148" name="[Table2].[Customer ID].&amp;[405881]"/>
            <x15:cachedUniqueName index="149" name="[Table2].[Customer ID].&amp;[407754]"/>
            <x15:cachedUniqueName index="150" name="[Table2].[Customer ID].&amp;[408340]"/>
            <x15:cachedUniqueName index="151" name="[Table2].[Customer ID].&amp;[408467]"/>
            <x15:cachedUniqueName index="152" name="[Table2].[Customer ID].&amp;[409256]"/>
            <x15:cachedUniqueName index="153" name="[Table2].[Customer ID].&amp;[409468]"/>
            <x15:cachedUniqueName index="154" name="[Table2].[Customer ID].&amp;[411009]"/>
            <x15:cachedUniqueName index="155" name="[Table2].[Customer ID].&amp;[415091]"/>
            <x15:cachedUniqueName index="156" name="[Table2].[Customer ID].&amp;[417871]"/>
            <x15:cachedUniqueName index="157" name="[Table2].[Customer ID].&amp;[421539]"/>
            <x15:cachedUniqueName index="158" name="[Table2].[Customer ID].&amp;[423000]"/>
            <x15:cachedUniqueName index="159" name="[Table2].[Customer ID].&amp;[426604]"/>
            <x15:cachedUniqueName index="160" name="[Table2].[Customer ID].&amp;[427315]"/>
            <x15:cachedUniqueName index="161" name="[Table2].[Customer ID].&amp;[427894]"/>
            <x15:cachedUniqueName index="162" name="[Table2].[Customer ID].&amp;[429704]"/>
            <x15:cachedUniqueName index="163" name="[Table2].[Customer ID].&amp;[430975]"/>
            <x15:cachedUniqueName index="164" name="[Table2].[Customer ID].&amp;[432558]"/>
            <x15:cachedUniqueName index="165" name="[Table2].[Customer ID].&amp;[433063]"/>
            <x15:cachedUniqueName index="166" name="[Table2].[Customer ID].&amp;[433250]"/>
            <x15:cachedUniqueName index="167" name="[Table2].[Customer ID].&amp;[433578]"/>
            <x15:cachedUniqueName index="168" name="[Table2].[Customer ID].&amp;[433879]"/>
            <x15:cachedUniqueName index="169" name="[Table2].[Customer ID].&amp;[434987]"/>
            <x15:cachedUniqueName index="170" name="[Table2].[Customer ID].&amp;[436075]"/>
            <x15:cachedUniqueName index="171" name="[Table2].[Customer ID].&amp;[438809]"/>
            <x15:cachedUniqueName index="172" name="[Table2].[Customer ID].&amp;[439411]"/>
            <x15:cachedUniqueName index="173" name="[Table2].[Customer ID].&amp;[441139]"/>
            <x15:cachedUniqueName index="174" name="[Table2].[Customer ID].&amp;[441216]"/>
            <x15:cachedUniqueName index="175" name="[Table2].[Customer ID].&amp;[445390]"/>
            <x15:cachedUniqueName index="176" name="[Table2].[Customer ID].&amp;[446826]"/>
            <x15:cachedUniqueName index="177" name="[Table2].[Customer ID].&amp;[449494]"/>
            <x15:cachedUniqueName index="178" name="[Table2].[Customer ID].&amp;[450272]"/>
            <x15:cachedUniqueName index="179" name="[Table2].[Customer ID].&amp;[453621]"/>
            <x15:cachedUniqueName index="180" name="[Table2].[Customer ID].&amp;[453699]"/>
            <x15:cachedUniqueName index="181" name="[Table2].[Customer ID].&amp;[454612]"/>
            <x15:cachedUniqueName index="182" name="[Table2].[Customer ID].&amp;[457761]"/>
            <x15:cachedUniqueName index="183" name="[Table2].[Customer ID].&amp;[459550]"/>
            <x15:cachedUniqueName index="184" name="[Table2].[Customer ID].&amp;[459857]"/>
            <x15:cachedUniqueName index="185" name="[Table2].[Customer ID].&amp;[460288]"/>
            <x15:cachedUniqueName index="186" name="[Table2].[Customer ID].&amp;[460707]"/>
            <x15:cachedUniqueName index="187" name="[Table2].[Customer ID].&amp;[462822]"/>
            <x15:cachedUniqueName index="188" name="[Table2].[Customer ID].&amp;[464154]"/>
            <x15:cachedUniqueName index="189" name="[Table2].[Customer ID].&amp;[464910]"/>
            <x15:cachedUniqueName index="190" name="[Table2].[Customer ID].&amp;[466409]"/>
            <x15:cachedUniqueName index="191" name="[Table2].[Customer ID].&amp;[473260]"/>
            <x15:cachedUniqueName index="192" name="[Table2].[Customer ID].&amp;[473572]"/>
            <x15:cachedUniqueName index="193" name="[Table2].[Customer ID].&amp;[475202]"/>
            <x15:cachedUniqueName index="194" name="[Table2].[Customer ID].&amp;[475616]"/>
            <x15:cachedUniqueName index="195" name="[Table2].[Customer ID].&amp;[479530]"/>
            <x15:cachedUniqueName index="196" name="[Table2].[Customer ID].&amp;[479949]"/>
            <x15:cachedUniqueName index="197" name="[Table2].[Customer ID].&amp;[481552]"/>
            <x15:cachedUniqueName index="198" name="[Table2].[Customer ID].&amp;[489951]"/>
            <x15:cachedUniqueName index="199" name="[Table2].[Customer ID].&amp;[490738]"/>
            <x15:cachedUniqueName index="200" name="[Table2].[Customer ID].&amp;[492092]"/>
            <x15:cachedUniqueName index="201" name="[Table2].[Customer ID].&amp;[504669]"/>
            <x15:cachedUniqueName index="202" name="[Table2].[Customer ID].&amp;[507147]"/>
            <x15:cachedUniqueName index="203" name="[Table2].[Customer ID].&amp;[507234]"/>
            <x15:cachedUniqueName index="204" name="[Table2].[Customer ID].&amp;[509024]"/>
            <x15:cachedUniqueName index="205" name="[Table2].[Customer ID].&amp;[509182]"/>
            <x15:cachedUniqueName index="206" name="[Table2].[Customer ID].&amp;[509505]"/>
            <x15:cachedUniqueName index="207" name="[Table2].[Customer ID].&amp;[514407]"/>
            <x15:cachedUniqueName index="208" name="[Table2].[Customer ID].&amp;[516447]"/>
            <x15:cachedUniqueName index="209" name="[Table2].[Customer ID].&amp;[518914]"/>
            <x15:cachedUniqueName index="210" name="[Table2].[Customer ID].&amp;[520243]"/>
            <x15:cachedUniqueName index="211" name="[Table2].[Customer ID].&amp;[521810]"/>
            <x15:cachedUniqueName index="212" name="[Table2].[Customer ID].&amp;[523936]"/>
            <x15:cachedUniqueName index="213" name="[Table2].[Customer ID].&amp;[523970]"/>
            <x15:cachedUniqueName index="214" name="[Table2].[Customer ID].&amp;[524156]"/>
            <x15:cachedUniqueName index="215" name="[Table2].[Customer ID].&amp;[524813]"/>
            <x15:cachedUniqueName index="216" name="[Table2].[Customer ID].&amp;[528399]"/>
            <x15:cachedUniqueName index="217" name="[Table2].[Customer ID].&amp;[529371]"/>
            <x15:cachedUniqueName index="218" name="[Table2].[Customer ID].&amp;[530475]"/>
            <x15:cachedUniqueName index="219" name="[Table2].[Customer ID].&amp;[531859]"/>
            <x15:cachedUniqueName index="220" name="[Table2].[Customer ID].&amp;[533034]"/>
            <x15:cachedUniqueName index="221" name="[Table2].[Customer ID].&amp;[533366]"/>
            <x15:cachedUniqueName index="222" name="[Table2].[Customer ID].&amp;[533757]"/>
            <x15:cachedUniqueName index="223" name="[Table2].[Customer ID].&amp;[534364]"/>
            <x15:cachedUniqueName index="224" name="[Table2].[Customer ID].&amp;[536413]"/>
            <x15:cachedUniqueName index="225" name="[Table2].[Customer ID].&amp;[538077]"/>
            <x15:cachedUniqueName index="226" name="[Table2].[Customer ID].&amp;[539350]"/>
            <x15:cachedUniqueName index="227" name="[Table2].[Customer ID].&amp;[544498]"/>
            <x15:cachedUniqueName index="228" name="[Table2].[Customer ID].&amp;[544541]"/>
            <x15:cachedUniqueName index="229" name="[Table2].[Customer ID].&amp;[545234]"/>
            <x15:cachedUniqueName index="230" name="[Table2].[Customer ID].&amp;[545452]"/>
            <x15:cachedUniqueName index="231" name="[Table2].[Customer ID].&amp;[547953]"/>
            <x15:cachedUniqueName index="232" name="[Table2].[Customer ID].&amp;[552388]"/>
            <x15:cachedUniqueName index="233" name="[Table2].[Customer ID].&amp;[552695]"/>
            <x15:cachedUniqueName index="234" name="[Table2].[Customer ID].&amp;[553618]"/>
            <x15:cachedUniqueName index="235" name="[Table2].[Customer ID].&amp;[555371]"/>
            <x15:cachedUniqueName index="236" name="[Table2].[Customer ID].&amp;[557246]"/>
            <x15:cachedUniqueName index="237" name="[Table2].[Customer ID].&amp;[560593]"/>
            <x15:cachedUniqueName index="238" name="[Table2].[Customer ID].&amp;[561029]"/>
            <x15:cachedUniqueName index="239" name="[Table2].[Customer ID].&amp;[563828]"/>
            <x15:cachedUniqueName index="240" name="[Table2].[Customer ID].&amp;[564685]"/>
            <x15:cachedUniqueName index="241" name="[Table2].[Customer ID].&amp;[564962]"/>
            <x15:cachedUniqueName index="242" name="[Table2].[Customer ID].&amp;[565614]"/>
            <x15:cachedUniqueName index="243" name="[Table2].[Customer ID].&amp;[565942]"/>
            <x15:cachedUniqueName index="244" name="[Table2].[Customer ID].&amp;[567678]"/>
            <x15:cachedUniqueName index="245" name="[Table2].[Customer ID].&amp;[567798]"/>
            <x15:cachedUniqueName index="246" name="[Table2].[Customer ID].&amp;[568353]"/>
            <x15:cachedUniqueName index="247" name="[Table2].[Customer ID].&amp;[568609]"/>
            <x15:cachedUniqueName index="248" name="[Table2].[Customer ID].&amp;[568881]"/>
            <x15:cachedUniqueName index="249" name="[Table2].[Customer ID].&amp;[569629]"/>
            <x15:cachedUniqueName index="250" name="[Table2].[Customer ID].&amp;[569704]"/>
            <x15:cachedUniqueName index="251" name="[Table2].[Customer ID].&amp;[570485]"/>
            <x15:cachedUniqueName index="252" name="[Table2].[Customer ID].&amp;[570696]"/>
            <x15:cachedUniqueName index="253" name="[Table2].[Customer ID].&amp;[572980]"/>
            <x15:cachedUniqueName index="254" name="[Table2].[Customer ID].&amp;[575179]"/>
            <x15:cachedUniqueName index="255" name="[Table2].[Customer ID].&amp;[578684]"/>
            <x15:cachedUniqueName index="256" name="[Table2].[Customer ID].&amp;[579752]"/>
            <x15:cachedUniqueName index="257" name="[Table2].[Customer ID].&amp;[579900]"/>
            <x15:cachedUniqueName index="258" name="[Table2].[Customer ID].&amp;[584031]"/>
            <x15:cachedUniqueName index="259" name="[Table2].[Customer ID].&amp;[585434]"/>
            <x15:cachedUniqueName index="260" name="[Table2].[Customer ID].&amp;[586706]"/>
            <x15:cachedUniqueName index="261" name="[Table2].[Customer ID].&amp;[588946]"/>
            <x15:cachedUniqueName index="262" name="[Table2].[Customer ID].&amp;[592263]"/>
            <x15:cachedUniqueName index="263" name="[Table2].[Customer ID].&amp;[592501]"/>
            <x15:cachedUniqueName index="264" name="[Table2].[Customer ID].&amp;[595797]"/>
            <x15:cachedUniqueName index="265" name="[Table2].[Customer ID].&amp;[596468]"/>
            <x15:cachedUniqueName index="266" name="[Table2].[Customer ID].&amp;[599905]"/>
            <x15:cachedUniqueName index="267" name="[Table2].[Customer ID].&amp;[603602]"/>
            <x15:cachedUniqueName index="268" name="[Table2].[Customer ID].&amp;[605524]"/>
            <x15:cachedUniqueName index="269" name="[Table2].[Customer ID].&amp;[612319]"/>
            <x15:cachedUniqueName index="270" name="[Table2].[Customer ID].&amp;[613463]"/>
            <x15:cachedUniqueName index="271" name="[Table2].[Customer ID].&amp;[615769]"/>
            <x15:cachedUniqueName index="272" name="[Table2].[Customer ID].&amp;[615941]"/>
            <x15:cachedUniqueName index="273" name="[Table2].[Customer ID].&amp;[618099]"/>
            <x15:cachedUniqueName index="274" name="[Table2].[Customer ID].&amp;[619316]"/>
            <x15:cachedUniqueName index="275" name="[Table2].[Customer ID].&amp;[621252]"/>
            <x15:cachedUniqueName index="276" name="[Table2].[Customer ID].&amp;[624419]"/>
            <x15:cachedUniqueName index="277" name="[Table2].[Customer ID].&amp;[627322]"/>
            <x15:cachedUniqueName index="278" name="[Table2].[Customer ID].&amp;[627945]"/>
            <x15:cachedUniqueName index="279" name="[Table2].[Customer ID].&amp;[630575]"/>
            <x15:cachedUniqueName index="280" name="[Table2].[Customer ID].&amp;[633665]"/>
            <x15:cachedUniqueName index="281" name="[Table2].[Customer ID].&amp;[634610]"/>
            <x15:cachedUniqueName index="282" name="[Table2].[Customer ID].&amp;[638327]"/>
            <x15:cachedUniqueName index="283" name="[Table2].[Customer ID].&amp;[647407]"/>
            <x15:cachedUniqueName index="284" name="[Table2].[Customer ID].&amp;[647451]"/>
            <x15:cachedUniqueName index="285" name="[Table2].[Customer ID].&amp;[648879]"/>
            <x15:cachedUniqueName index="286" name="[Table2].[Customer ID].&amp;[649852]"/>
            <x15:cachedUniqueName index="287" name="[Table2].[Customer ID].&amp;[651220]"/>
            <x15:cachedUniqueName index="288" name="[Table2].[Customer ID].&amp;[651973]"/>
            <x15:cachedUniqueName index="289" name="[Table2].[Customer ID].&amp;[652501]"/>
            <x15:cachedUniqueName index="290" name="[Table2].[Customer ID].&amp;[653047]"/>
            <x15:cachedUniqueName index="291" name="[Table2].[Customer ID].&amp;[655225]"/>
            <x15:cachedUniqueName index="292" name="[Table2].[Customer ID].&amp;[658891]"/>
            <x15:cachedUniqueName index="293" name="[Table2].[Customer ID].&amp;[658908]"/>
            <x15:cachedUniqueName index="294" name="[Table2].[Customer ID].&amp;[659251]"/>
            <x15:cachedUniqueName index="295" name="[Table2].[Customer ID].&amp;[659674]"/>
            <x15:cachedUniqueName index="296" name="[Table2].[Customer ID].&amp;[661610]"/>
            <x15:cachedUniqueName index="297" name="[Table2].[Customer ID].&amp;[661975]"/>
            <x15:cachedUniqueName index="298" name="[Table2].[Customer ID].&amp;[665314]"/>
            <x15:cachedUniqueName index="299" name="[Table2].[Customer ID].&amp;[672763]"/>
            <x15:cachedUniqueName index="300" name="[Table2].[Customer ID].&amp;[674437]"/>
            <x15:cachedUniqueName index="301" name="[Table2].[Customer ID].&amp;[674507]"/>
            <x15:cachedUniqueName index="302" name="[Table2].[Customer ID].&amp;[675778]"/>
            <x15:cachedUniqueName index="303" name="[Table2].[Customer ID].&amp;[675784]"/>
            <x15:cachedUniqueName index="304" name="[Table2].[Customer ID].&amp;[677618]"/>
            <x15:cachedUniqueName index="305" name="[Table2].[Customer ID].&amp;[678961]"/>
            <x15:cachedUniqueName index="306" name="[Table2].[Customer ID].&amp;[679021]"/>
            <x15:cachedUniqueName index="307" name="[Table2].[Customer ID].&amp;[682271]"/>
            <x15:cachedUniqueName index="308" name="[Table2].[Customer ID].&amp;[683367]"/>
            <x15:cachedUniqueName index="309" name="[Table2].[Customer ID].&amp;[683741]"/>
            <x15:cachedUniqueName index="310" name="[Table2].[Customer ID].&amp;[684987]"/>
            <x15:cachedUniqueName index="311" name="[Table2].[Customer ID].&amp;[685188]"/>
            <x15:cachedUniqueName index="312" name="[Table2].[Customer ID].&amp;[689047]"/>
            <x15:cachedUniqueName index="313" name="[Table2].[Customer ID].&amp;[689621]"/>
            <x15:cachedUniqueName index="314" name="[Table2].[Customer ID].&amp;[690301]"/>
            <x15:cachedUniqueName index="315" name="[Table2].[Customer ID].&amp;[690626]"/>
            <x15:cachedUniqueName index="316" name="[Table2].[Customer ID].&amp;[690698]"/>
            <x15:cachedUniqueName index="317" name="[Table2].[Customer ID].&amp;[691233]"/>
            <x15:cachedUniqueName index="318" name="[Table2].[Customer ID].&amp;[692379]"/>
            <x15:cachedUniqueName index="319" name="[Table2].[Customer ID].&amp;[693194]"/>
            <x15:cachedUniqueName index="320" name="[Table2].[Customer ID].&amp;[694119]"/>
            <x15:cachedUniqueName index="321" name="[Table2].[Customer ID].&amp;[695378]"/>
            <x15:cachedUniqueName index="322" name="[Table2].[Customer ID].&amp;[700274]"/>
            <x15:cachedUniqueName index="323" name="[Table2].[Customer ID].&amp;[704096]"/>
            <x15:cachedUniqueName index="324" name="[Table2].[Customer ID].&amp;[706008]"/>
            <x15:cachedUniqueName index="325" name="[Table2].[Customer ID].&amp;[709387]"/>
            <x15:cachedUniqueName index="326" name="[Table2].[Customer ID].&amp;[712345]"/>
            <x15:cachedUniqueName index="327" name="[Table2].[Customer ID].&amp;[713748]"/>
            <x15:cachedUniqueName index="328" name="[Table2].[Customer ID].&amp;[716285]"/>
            <x15:cachedUniqueName index="329" name="[Table2].[Customer ID].&amp;[718015]"/>
            <x15:cachedUniqueName index="330" name="[Table2].[Customer ID].&amp;[718531]"/>
            <x15:cachedUniqueName index="331" name="[Table2].[Customer ID].&amp;[718664]"/>
            <x15:cachedUniqueName index="332" name="[Table2].[Customer ID].&amp;[721340]"/>
            <x15:cachedUniqueName index="333" name="[Table2].[Customer ID].&amp;[722523]"/>
            <x15:cachedUniqueName index="334" name="[Table2].[Customer ID].&amp;[725385]"/>
            <x15:cachedUniqueName index="335" name="[Table2].[Customer ID].&amp;[725646]"/>
            <x15:cachedUniqueName index="336" name="[Table2].[Customer ID].&amp;[726225]"/>
            <x15:cachedUniqueName index="337" name="[Table2].[Customer ID].&amp;[727196]"/>
            <x15:cachedUniqueName index="338" name="[Table2].[Customer ID].&amp;[727634]"/>
            <x15:cachedUniqueName index="339" name="[Table2].[Customer ID].&amp;[728256]"/>
            <x15:cachedUniqueName index="340" name="[Table2].[Customer ID].&amp;[730030]"/>
            <x15:cachedUniqueName index="341" name="[Table2].[Customer ID].&amp;[731100]"/>
            <x15:cachedUniqueName index="342" name="[Table2].[Customer ID].&amp;[734296]"/>
            <x15:cachedUniqueName index="343" name="[Table2].[Customer ID].&amp;[737238]"/>
            <x15:cachedUniqueName index="344" name="[Table2].[Customer ID].&amp;[740300]"/>
            <x15:cachedUniqueName index="345" name="[Table2].[Customer ID].&amp;[740305]"/>
            <x15:cachedUniqueName index="346" name="[Table2].[Customer ID].&amp;[743304]"/>
            <x15:cachedUniqueName index="347" name="[Table2].[Customer ID].&amp;[749260]"/>
            <x15:cachedUniqueName index="348" name="[Table2].[Customer ID].&amp;[749572]"/>
            <x15:cachedUniqueName index="349" name="[Table2].[Customer ID].&amp;[751030]"/>
            <x15:cachedUniqueName index="350" name="[Table2].[Customer ID].&amp;[752028]"/>
            <x15:cachedUniqueName index="351" name="[Table2].[Customer ID].&amp;[752827]"/>
            <x15:cachedUniqueName index="352" name="[Table2].[Customer ID].&amp;[760603]"/>
            <x15:cachedUniqueName index="353" name="[Table2].[Customer ID].&amp;[761621]"/>
            <x15:cachedUniqueName index="354" name="[Table2].[Customer ID].&amp;[761846]"/>
            <x15:cachedUniqueName index="355" name="[Table2].[Customer ID].&amp;[764808]"/>
            <x15:cachedUniqueName index="356" name="[Table2].[Customer ID].&amp;[764919]"/>
            <x15:cachedUniqueName index="357" name="[Table2].[Customer ID].&amp;[765487]"/>
            <x15:cachedUniqueName index="358" name="[Table2].[Customer ID].&amp;[767001]"/>
            <x15:cachedUniqueName index="359" name="[Table2].[Customer ID].&amp;[767038]"/>
            <x15:cachedUniqueName index="360" name="[Table2].[Customer ID].&amp;[768984]"/>
            <x15:cachedUniqueName index="361" name="[Table2].[Customer ID].&amp;[770075]"/>
            <x15:cachedUniqueName index="362" name="[Table2].[Customer ID].&amp;[771785]"/>
            <x15:cachedUniqueName index="363" name="[Table2].[Customer ID].&amp;[772937]"/>
            <x15:cachedUniqueName index="364" name="[Table2].[Customer ID].&amp;[772989]"/>
            <x15:cachedUniqueName index="365" name="[Table2].[Customer ID].&amp;[774637]"/>
            <x15:cachedUniqueName index="366" name="[Table2].[Customer ID].&amp;[775026]"/>
            <x15:cachedUniqueName index="367" name="[Table2].[Customer ID].&amp;[775874]"/>
            <x15:cachedUniqueName index="368" name="[Table2].[Customer ID].&amp;[776252]"/>
            <x15:cachedUniqueName index="369" name="[Table2].[Customer ID].&amp;[779817]"/>
            <x15:cachedUniqueName index="370" name="[Table2].[Customer ID].&amp;[780768]"/>
            <x15:cachedUniqueName index="371" name="[Table2].[Customer ID].&amp;[780928]"/>
            <x15:cachedUniqueName index="372" name="[Table2].[Customer ID].&amp;[784041]"/>
            <x15:cachedUniqueName index="373" name="[Table2].[Customer ID].&amp;[787015]"/>
            <x15:cachedUniqueName index="374" name="[Table2].[Customer ID].&amp;[792044]"/>
            <x15:cachedUniqueName index="375" name="[Table2].[Customer ID].&amp;[792128]"/>
            <x15:cachedUniqueName index="376" name="[Table2].[Customer ID].&amp;[795373]"/>
            <x15:cachedUniqueName index="377" name="[Table2].[Customer ID].&amp;[798832]"/>
            <x15:cachedUniqueName index="378" name="[Table2].[Customer ID].&amp;[801581]"/>
            <x15:cachedUniqueName index="379" name="[Table2].[Customer ID].&amp;[802444]"/>
            <x15:cachedUniqueName index="380" name="[Table2].[Customer ID].&amp;[805755]"/>
            <x15:cachedUniqueName index="381" name="[Table2].[Customer ID].&amp;[806467]"/>
            <x15:cachedUniqueName index="382" name="[Table2].[Customer ID].&amp;[807933]"/>
            <x15:cachedUniqueName index="383" name="[Table2].[Customer ID].&amp;[809306]"/>
            <x15:cachedUniqueName index="384" name="[Table2].[Customer ID].&amp;[812461]"/>
            <x15:cachedUniqueName index="385" name="[Table2].[Customer ID].&amp;[814098]"/>
            <x15:cachedUniqueName index="386" name="[Table2].[Customer ID].&amp;[815415]"/>
            <x15:cachedUniqueName index="387" name="[Table2].[Customer ID].&amp;[817632]"/>
            <x15:cachedUniqueName index="388" name="[Table2].[Customer ID].&amp;[818431]"/>
            <x15:cachedUniqueName index="389" name="[Table2].[Customer ID].&amp;[818603]"/>
            <x15:cachedUniqueName index="390" name="[Table2].[Customer ID].&amp;[820049]"/>
            <x15:cachedUniqueName index="391" name="[Table2].[Customer ID].&amp;[826365]"/>
            <x15:cachedUniqueName index="392" name="[Table2].[Customer ID].&amp;[829378]"/>
            <x15:cachedUniqueName index="393" name="[Table2].[Customer ID].&amp;[833709]"/>
            <x15:cachedUniqueName index="394" name="[Table2].[Customer ID].&amp;[835355]"/>
            <x15:cachedUniqueName index="395" name="[Table2].[Customer ID].&amp;[837453]"/>
            <x15:cachedUniqueName index="396" name="[Table2].[Customer ID].&amp;[840177]"/>
            <x15:cachedUniqueName index="397" name="[Table2].[Customer ID].&amp;[841087]"/>
            <x15:cachedUniqueName index="398" name="[Table2].[Customer ID].&amp;[842079]"/>
            <x15:cachedUniqueName index="399" name="[Table2].[Customer ID].&amp;[842640]"/>
            <x15:cachedUniqueName index="400" name="[Table2].[Customer ID].&amp;[843102]"/>
            <x15:cachedUniqueName index="401" name="[Table2].[Customer ID].&amp;[846632]"/>
            <x15:cachedUniqueName index="402" name="[Table2].[Customer ID].&amp;[850255]"/>
            <x15:cachedUniqueName index="403" name="[Table2].[Customer ID].&amp;[851257]"/>
            <x15:cachedUniqueName index="404" name="[Table2].[Customer ID].&amp;[851296]"/>
            <x15:cachedUniqueName index="405" name="[Table2].[Customer ID].&amp;[853516]"/>
            <x15:cachedUniqueName index="406" name="[Table2].[Customer ID].&amp;[853995]"/>
            <x15:cachedUniqueName index="407" name="[Table2].[Customer ID].&amp;[854536]"/>
            <x15:cachedUniqueName index="408" name="[Table2].[Customer ID].&amp;[855681]"/>
            <x15:cachedUniqueName index="409" name="[Table2].[Customer ID].&amp;[856677]"/>
            <x15:cachedUniqueName index="410" name="[Table2].[Customer ID].&amp;[860759]"/>
            <x15:cachedUniqueName index="411" name="[Table2].[Customer ID].&amp;[861387]"/>
            <x15:cachedUniqueName index="412" name="[Table2].[Customer ID].&amp;[861891]"/>
            <x15:cachedUniqueName index="413" name="[Table2].[Customer ID].&amp;[866770]"/>
            <x15:cachedUniqueName index="414" name="[Table2].[Customer ID].&amp;[866889]"/>
            <x15:cachedUniqueName index="415" name="[Table2].[Customer ID].&amp;[869806]"/>
            <x15:cachedUniqueName index="416" name="[Table2].[Customer ID].&amp;[870440]"/>
            <x15:cachedUniqueName index="417" name="[Table2].[Customer ID].&amp;[870636]"/>
            <x15:cachedUniqueName index="418" name="[Table2].[Customer ID].&amp;[870934]"/>
            <x15:cachedUniqueName index="419" name="[Table2].[Customer ID].&amp;[875642]"/>
            <x15:cachedUniqueName index="420" name="[Table2].[Customer ID].&amp;[876150]"/>
            <x15:cachedUniqueName index="421" name="[Table2].[Customer ID].&amp;[877399]"/>
            <x15:cachedUniqueName index="422" name="[Table2].[Customer ID].&amp;[879301]"/>
            <x15:cachedUniqueName index="423" name="[Table2].[Customer ID].&amp;[879380]"/>
            <x15:cachedUniqueName index="424" name="[Table2].[Customer ID].&amp;[881741]"/>
            <x15:cachedUniqueName index="425" name="[Table2].[Customer ID].&amp;[882387]"/>
            <x15:cachedUniqueName index="426" name="[Table2].[Customer ID].&amp;[882580]"/>
            <x15:cachedUniqueName index="427" name="[Table2].[Customer ID].&amp;[883947]"/>
            <x15:cachedUniqueName index="428" name="[Table2].[Customer ID].&amp;[888086]"/>
            <x15:cachedUniqueName index="429" name="[Table2].[Customer ID].&amp;[888870]"/>
            <x15:cachedUniqueName index="430" name="[Table2].[Customer ID].&amp;[893415]"/>
            <x15:cachedUniqueName index="431" name="[Table2].[Customer ID].&amp;[894189]"/>
            <x15:cachedUniqueName index="432" name="[Table2].[Customer ID].&amp;[894517]"/>
            <x15:cachedUniqueName index="433" name="[Table2].[Customer ID].&amp;[895736]"/>
            <x15:cachedUniqueName index="434" name="[Table2].[Customer ID].&amp;[896301]"/>
            <x15:cachedUniqueName index="435" name="[Table2].[Customer ID].&amp;[897276]"/>
            <x15:cachedUniqueName index="436" name="[Table2].[Customer ID].&amp;[900676]"/>
            <x15:cachedUniqueName index="437" name="[Table2].[Customer ID].&amp;[901380]"/>
            <x15:cachedUniqueName index="438" name="[Table2].[Customer ID].&amp;[903080]"/>
            <x15:cachedUniqueName index="439" name="[Table2].[Customer ID].&amp;[904317]"/>
            <x15:cachedUniqueName index="440" name="[Table2].[Customer ID].&amp;[908804]"/>
            <x15:cachedUniqueName index="441" name="[Table2].[Customer ID].&amp;[910508]"/>
            <x15:cachedUniqueName index="442" name="[Table2].[Customer ID].&amp;[915152]"/>
            <x15:cachedUniqueName index="443" name="[Table2].[Customer ID].&amp;[915727]"/>
            <x15:cachedUniqueName index="444" name="[Table2].[Customer ID].&amp;[916141]"/>
            <x15:cachedUniqueName index="445" name="[Table2].[Customer ID].&amp;[916524]"/>
            <x15:cachedUniqueName index="446" name="[Table2].[Customer ID].&amp;[916955]"/>
            <x15:cachedUniqueName index="447" name="[Table2].[Customer ID].&amp;[923020]"/>
            <x15:cachedUniqueName index="448" name="[Table2].[Customer ID].&amp;[927818]"/>
            <x15:cachedUniqueName index="449" name="[Table2].[Customer ID].&amp;[929089]"/>
            <x15:cachedUniqueName index="450" name="[Table2].[Customer ID].&amp;[930330]"/>
            <x15:cachedUniqueName index="451" name="[Table2].[Customer ID].&amp;[931835]"/>
            <x15:cachedUniqueName index="452" name="[Table2].[Customer ID].&amp;[932665]"/>
            <x15:cachedUniqueName index="453" name="[Table2].[Customer ID].&amp;[934360]"/>
            <x15:cachedUniqueName index="454" name="[Table2].[Customer ID].&amp;[935158]"/>
            <x15:cachedUniqueName index="455" name="[Table2].[Customer ID].&amp;[935644]"/>
            <x15:cachedUniqueName index="456" name="[Table2].[Customer ID].&amp;[937519]"/>
            <x15:cachedUniqueName index="457" name="[Table2].[Customer ID].&amp;[941406]"/>
            <x15:cachedUniqueName index="458" name="[Table2].[Customer ID].&amp;[942595]"/>
            <x15:cachedUniqueName index="459" name="[Table2].[Customer ID].&amp;[943899]"/>
            <x15:cachedUniqueName index="460" name="[Table2].[Customer ID].&amp;[944525]"/>
            <x15:cachedUniqueName index="461" name="[Table2].[Customer ID].&amp;[945035]"/>
            <x15:cachedUniqueName index="462" name="[Table2].[Customer ID].&amp;[945657]"/>
            <x15:cachedUniqueName index="463" name="[Table2].[Customer ID].&amp;[945986]"/>
            <x15:cachedUniqueName index="464" name="[Table2].[Customer ID].&amp;[946247]"/>
            <x15:cachedUniqueName index="465" name="[Table2].[Customer ID].&amp;[946300]"/>
            <x15:cachedUniqueName index="466" name="[Table2].[Customer ID].&amp;[946700]"/>
            <x15:cachedUniqueName index="467" name="[Table2].[Customer ID].&amp;[948408]"/>
            <x15:cachedUniqueName index="468" name="[Table2].[Customer ID].&amp;[953804]"/>
            <x15:cachedUniqueName index="469" name="[Table2].[Customer ID].&amp;[954780]"/>
            <x15:cachedUniqueName index="470" name="[Table2].[Customer ID].&amp;[955248]"/>
            <x15:cachedUniqueName index="471" name="[Table2].[Customer ID].&amp;[955961]"/>
            <x15:cachedUniqueName index="472" name="[Table2].[Customer ID].&amp;[957981]"/>
            <x15:cachedUniqueName index="473" name="[Table2].[Customer ID].&amp;[959323]"/>
            <x15:cachedUniqueName index="474" name="[Table2].[Customer ID].&amp;[961459]"/>
            <x15:cachedUniqueName index="475" name="[Table2].[Customer ID].&amp;[962182]"/>
            <x15:cachedUniqueName index="476" name="[Table2].[Customer ID].&amp;[964477]"/>
            <x15:cachedUniqueName index="477" name="[Table2].[Customer ID].&amp;[965955]"/>
            <x15:cachedUniqueName index="478" name="[Table2].[Customer ID].&amp;[969262]"/>
            <x15:cachedUniqueName index="479" name="[Table2].[Customer ID].&amp;[969821]"/>
            <x15:cachedUniqueName index="480" name="[Table2].[Customer ID].&amp;[970064]"/>
            <x15:cachedUniqueName index="481" name="[Table2].[Customer ID].&amp;[973241]"/>
            <x15:cachedUniqueName index="482" name="[Table2].[Customer ID].&amp;[973339]"/>
            <x15:cachedUniqueName index="483" name="[Table2].[Customer ID].&amp;[975319]"/>
            <x15:cachedUniqueName index="484" name="[Table2].[Customer ID].&amp;[977193]"/>
            <x15:cachedUniqueName index="485" name="[Table2].[Customer ID].&amp;[978283]"/>
            <x15:cachedUniqueName index="486" name="[Table2].[Customer ID].&amp;[978548]"/>
            <x15:cachedUniqueName index="487" name="[Table2].[Customer ID].&amp;[980642]"/>
            <x15:cachedUniqueName index="488" name="[Table2].[Customer ID].&amp;[981665]"/>
            <x15:cachedUniqueName index="489" name="[Table2].[Customer ID].&amp;[981915]"/>
            <x15:cachedUniqueName index="490" name="[Table2].[Customer ID].&amp;[982731]"/>
            <x15:cachedUniqueName index="491" name="[Table2].[Customer ID].&amp;[985381]"/>
            <x15:cachedUniqueName index="492" name="[Table2].[Customer ID].&amp;[987879]"/>
            <x15:cachedUniqueName index="493" name="[Table2].[Customer ID].&amp;[989374]"/>
            <x15:cachedUniqueName index="494" name="[Table2].[Customer ID].&amp;[989898]"/>
            <x15:cachedUniqueName index="495" name="[Table2].[Customer ID].&amp;[990194]"/>
            <x15:cachedUniqueName index="496" name="[Table2].[Customer ID].&amp;[990243]"/>
            <x15:cachedUniqueName index="497" name="[Table2].[Customer ID].&amp;[994371]"/>
            <x15:cachedUniqueName index="498" name="[Table2].[Customer ID].&amp;[995453]"/>
            <x15:cachedUniqueName index="499" name="[Table2].[Customer ID].&amp;[999369]"/>
          </x15:cachedUniqueNames>
        </ext>
      </extLst>
    </cacheField>
    <cacheField name="[Measures].[Count of Transaction ID]" caption="Count of Transaction ID" numFmtId="0" hierarchy="38" level="32767"/>
    <cacheField name="[Table2].[Branch Name].[Branch Name]" caption="Branch Name" numFmtId="0" hierarchy="15" level="1">
      <sharedItems containsSemiMixedTypes="0" containsNonDate="0" containsString="0"/>
    </cacheField>
  </cacheFields>
  <cacheHierarchies count="44">
    <cacheHierarchy uniqueName="[Range].[year_month]" caption="year_month" attribute="1" defaultMemberUniqueName="[Range].[year_month].[All]" allUniqueName="[Range].[year_month].[All]" dimensionUniqueName="[Range]" displayFolder="" count="0" memberValueDatatype="130" unbalanced="0"/>
    <cacheHierarchy uniqueName="[Range 1].[Transaction ID]" caption="Transaction ID" attribute="1" defaultMemberUniqueName="[Range 1].[Transaction ID].[All]" allUniqueName="[Range 1].[Transaction ID].[All]" dimensionUniqueName="[Range 1]" displayFolder="" count="0" memberValueDatatype="130" unbalanced="0"/>
    <cacheHierarchy uniqueName="[Range 2].[Transaction Status]" caption="Transaction Status" attribute="1" defaultMemberUniqueName="[Range 2].[Transaction Status].[All]" allUniqueName="[Range 2].[Transaction Status].[All]" dimensionUniqueName="[Range 2]" displayFolder="" count="0" memberValueDatatype="130" unbalanced="0"/>
    <cacheHierarchy uniqueName="[Range 3].[UPI]" caption="UPI" attribute="1" defaultMemberUniqueName="[Range 3].[UPI].[All]" allUniqueName="[Range 3].[UPI].[All]" dimensionUniqueName="[Range 3]" displayFolder="" count="0" memberValueDatatype="130" unbalanced="0"/>
    <cacheHierarchy uniqueName="[Range 4].[Transaction Amount]" caption="Transaction Amount" attribute="1" defaultMemberUniqueName="[Range 4].[Transaction Amount].[All]" allUniqueName="[Range 4].[Transaction Amount].[All]" dimensionUniqueName="[Range 4]" displayFolder="" count="0" memberValueDatatype="5" unbalanced="0"/>
    <cacheHierarchy uniqueName="[Range 5].[City]" caption="City" attribute="1" defaultMemberUniqueName="[Range 5].[City].[All]" allUniqueName="[Range 5].[City].[All]" dimensionUniqueName="[Range 5]" displayFolder="" count="0" memberValueDatatype="130" unbalanced="0"/>
    <cacheHierarchy uniqueName="[Range 6].[Is Fraud]" caption="Is Fraud" attribute="1" defaultMemberUniqueName="[Range 6].[Is Fraud].[All]" allUniqueName="[Range 6].[Is Fraud].[All]" dimensionUniqueName="[Range 6]" displayFolder="" count="0" memberValueDatatype="130" unbalanced="0"/>
    <cacheHierarchy uniqueName="[Range 7].[Transaction Type]" caption="Transaction Type" attribute="1" defaultMemberUniqueName="[Range 7].[Transaction Type].[All]" allUniqueName="[Range 7].[Transaction Type].[All]" dimensionUniqueName="[Range 7]" displayFolder="" count="0" memberValueDatatype="130" unbalanced="0"/>
    <cacheHierarchy uniqueName="[Range 8].[Customer ID]" caption="Customer ID" attribute="1" defaultMemberUniqueName="[Range 8].[Customer ID].[All]" allUniqueName="[Range 8].[Customer ID].[All]" dimensionUniqueName="[Range 8]" displayFolder="" count="0" memberValueDatatype="20" unbalanced="0"/>
    <cacheHierarchy uniqueName="[Table2].[Transaction ID]" caption="Transaction ID" attribute="1" defaultMemberUniqueName="[Table2].[Transaction ID].[All]" allUniqueName="[Table2].[Transac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2" memberValueDatatype="20" unbalanced="0">
      <fieldsUsage count="2">
        <fieldUsage x="-1"/>
        <fieldUsage x="0"/>
      </fieldsUsage>
    </cacheHierarchy>
    <cacheHierarchy uniqueName="[Table2].[Customer Name]" caption="Customer Name" attribute="1" defaultMemberUniqueName="[Table2].[Customer Name].[All]" allUniqueName="[Table2].[Customer Name].[All]" dimensionUniqueName="[Table2]" displayFolder="" count="0" memberValueDatatype="130" unbalanced="0"/>
    <cacheHierarchy uniqueName="[Table2].[Account Number]" caption="Account Number" attribute="1" defaultMemberUniqueName="[Table2].[Account Number].[All]" allUniqueName="[Table2].[Account Number].[All]" dimensionUniqueName="[Table2]" displayFolder="" count="0" memberValueDatatype="5" unbalanced="0"/>
    <cacheHierarchy uniqueName="[Table2].[Region]" caption="Region" attribute="1" defaultMemberUniqueName="[Table2].[Region].[All]" allUniqueName="[Table2].[Region].[All]" dimensionUniqueName="[Table2]" displayFolder="" count="0" memberValueDatatype="130" unbalanced="0"/>
    <cacheHierarchy uniqueName="[Table2].[City]" caption="City" attribute="1" defaultMemberUniqueName="[Table2].[City].[All]" allUniqueName="[Table2].[City].[All]" dimensionUniqueName="[Table2]" displayFolder="" count="0" memberValueDatatype="130" unbalanced="0"/>
    <cacheHierarchy uniqueName="[Table2].[Branch Name]" caption="Branch Name" attribute="1" defaultMemberUniqueName="[Table2].[Branch Name].[All]" allUniqueName="[Table2].[Branch Name].[All]" dimensionUniqueName="[Table2]" displayFolder="" count="2" memberValueDatatype="130" unbalanced="0">
      <fieldsUsage count="2">
        <fieldUsage x="-1"/>
        <fieldUsage x="2"/>
      </fieldsUsage>
    </cacheHierarchy>
    <cacheHierarchy uniqueName="[Table2].[Account Type]" caption="Account Type" attribute="1" defaultMemberUniqueName="[Table2].[Account Type].[All]" allUniqueName="[Table2].[Account Type].[All]" dimensionUniqueName="[Table2]" displayFolder="" count="0" memberValueDatatype="130" unbalanced="0"/>
    <cacheHierarchy uniqueName="[Table2].[Transaction Type]" caption="Transaction Type" attribute="1" defaultMemberUniqueName="[Table2].[Transaction Type].[All]" allUniqueName="[Table2].[Transaction Type].[All]" dimensionUniqueName="[Table2]" displayFolder="" count="0" memberValueDatatype="130" unbalanced="0"/>
    <cacheHierarchy uniqueName="[Table2].[Transaction Amount]" caption="Transaction Amount" attribute="1" defaultMemberUniqueName="[Table2].[Transaction Amount].[All]" allUniqueName="[Table2].[Transaction Amount].[All]" dimensionUniqueName="[Table2]" displayFolder="" count="0" memberValueDatatype="5" unbalanced="0"/>
    <cacheHierarchy uniqueName="[Table2].[Payment Mode]" caption="Payment Mode" attribute="1" defaultMemberUniqueName="[Table2].[Payment Mode].[All]" allUniqueName="[Table2].[Payment Mode].[All]" dimensionUniqueName="[Table2]" displayFolder="" count="0" memberValueDatatype="130" unbalanced="0"/>
    <cacheHierarchy uniqueName="[Table2].[Transaction Date]" caption="Transaction Date" attribute="1" time="1" defaultMemberUniqueName="[Table2].[Transaction Date].[All]" allUniqueName="[Table2].[Transaction Date].[All]" dimensionUniqueName="[Table2]" displayFolder="" count="0" memberValueDatatype="7" unbalanced="0"/>
    <cacheHierarchy uniqueName="[Table2].[Transaction Status]" caption="Transaction Status" attribute="1" defaultMemberUniqueName="[Table2].[Transaction Status].[All]" allUniqueName="[Table2].[Transaction Status].[All]" dimensionUniqueName="[Table2]" displayFolder="" count="0" memberValueDatatype="130" unbalanced="0"/>
    <cacheHierarchy uniqueName="[Table2].[Balance After Txn]" caption="Balance After Txn" attribute="1" defaultMemberUniqueName="[Table2].[Balance After Txn].[All]" allUniqueName="[Table2].[Balance After Txn].[All]" dimensionUniqueName="[Table2]" displayFolder="" count="0" memberValueDatatype="5" unbalanced="0"/>
    <cacheHierarchy uniqueName="[Table2].[Is Fraud]" caption="Is Fraud" attribute="1" defaultMemberUniqueName="[Table2].[Is Fraud].[All]" allUniqueName="[Table2].[Is Fraud].[All]" dimensionUniqueName="[Table2]" displayFolder="" count="0" memberValueDatatype="130" unbalanced="0"/>
    <cacheHierarchy uniqueName="[Table2].[year_month]" caption="year_month" attribute="1" defaultMemberUniqueName="[Table2].[year_month].[All]" allUniqueName="[Table2].[year_month].[All]" dimensionUniqueName="[Table2]" displayFolder="" count="0"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0"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1921064815" backgroundQuery="1" createdVersion="8" refreshedVersion="8" minRefreshableVersion="3" recordCount="0" supportSubquery="1" supportAdvancedDrill="1" xr:uid="{0F4CE519-013A-458A-BF7C-723346091968}">
  <cacheSource type="external" connectionId="1"/>
  <cacheFields count="3">
    <cacheField name="[Table2].[Transaction Type].[Transaction Type]" caption="Transaction Type" numFmtId="0" hierarchy="17" level="1">
      <sharedItems count="4">
        <s v="Cheque"/>
        <s v="Deposit"/>
        <s v="Online Transfer"/>
        <s v="Withdrawal"/>
      </sharedItems>
    </cacheField>
    <cacheField name="[Measures].[Count of Transaction ID]" caption="Count of Transaction ID" numFmtId="0" hierarchy="38" level="32767"/>
    <cacheField name="[Table2].[Account Type].[Account Type]" caption="Account Type" numFmtId="0" hierarchy="16" level="1">
      <sharedItems containsSemiMixedTypes="0" containsNonDate="0" containsString="0"/>
    </cacheField>
  </cacheFields>
  <cacheHierarchies count="44">
    <cacheHierarchy uniqueName="[Range].[year_month]" caption="year_month" attribute="1" defaultMemberUniqueName="[Range].[year_month].[All]" allUniqueName="[Range].[year_month].[All]" dimensionUniqueName="[Range]" displayFolder="" count="2" memberValueDatatype="130" unbalanced="0"/>
    <cacheHierarchy uniqueName="[Range 1].[Transaction ID]" caption="Transaction ID" attribute="1" defaultMemberUniqueName="[Range 1].[Transaction ID].[All]" allUniqueName="[Range 1].[Transaction ID].[All]" dimensionUniqueName="[Range 1]" displayFolder="" count="2" memberValueDatatype="130" unbalanced="0"/>
    <cacheHierarchy uniqueName="[Range 2].[Transaction Status]" caption="Transaction Status" attribute="1" defaultMemberUniqueName="[Range 2].[Transaction Status].[All]" allUniqueName="[Range 2].[Transaction Status].[All]" dimensionUniqueName="[Range 2]" displayFolder="" count="2" memberValueDatatype="130" unbalanced="0"/>
    <cacheHierarchy uniqueName="[Range 3].[UPI]" caption="UPI" attribute="1" defaultMemberUniqueName="[Range 3].[UPI].[All]" allUniqueName="[Range 3].[UPI].[All]" dimensionUniqueName="[Range 3]" displayFolder="" count="2" memberValueDatatype="130" unbalanced="0"/>
    <cacheHierarchy uniqueName="[Range 4].[Transaction Amount]" caption="Transaction Amount" attribute="1" defaultMemberUniqueName="[Range 4].[Transaction Amount].[All]" allUniqueName="[Range 4].[Transaction Amount].[All]" dimensionUniqueName="[Range 4]" displayFolder="" count="2" memberValueDatatype="5" unbalanced="0"/>
    <cacheHierarchy uniqueName="[Range 5].[City]" caption="City" attribute="1" defaultMemberUniqueName="[Range 5].[City].[All]" allUniqueName="[Range 5].[City].[All]" dimensionUniqueName="[Range 5]" displayFolder="" count="2" memberValueDatatype="130" unbalanced="0"/>
    <cacheHierarchy uniqueName="[Range 6].[Is Fraud]" caption="Is Fraud" attribute="1" defaultMemberUniqueName="[Range 6].[Is Fraud].[All]" allUniqueName="[Range 6].[Is Fraud].[All]" dimensionUniqueName="[Range 6]" displayFolder="" count="2" memberValueDatatype="130" unbalanced="0"/>
    <cacheHierarchy uniqueName="[Range 7].[Transaction Type]" caption="Transaction Type" attribute="1" defaultMemberUniqueName="[Range 7].[Transaction Type].[All]" allUniqueName="[Range 7].[Transaction Type].[All]" dimensionUniqueName="[Range 7]" displayFolder="" count="2" memberValueDatatype="130" unbalanced="0"/>
    <cacheHierarchy uniqueName="[Range 8].[Customer ID]" caption="Customer ID" attribute="1" defaultMemberUniqueName="[Range 8].[Customer ID].[All]" allUniqueName="[Range 8].[Customer ID].[All]" dimensionUniqueName="[Range 8]" displayFolder="" count="2" memberValueDatatype="20" unbalanced="0"/>
    <cacheHierarchy uniqueName="[Table2].[Transaction ID]" caption="Transaction ID" attribute="1" defaultMemberUniqueName="[Table2].[Transaction ID].[All]" allUniqueName="[Table2].[Transaction ID].[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ccount Number]" caption="Account Number" attribute="1" defaultMemberUniqueName="[Table2].[Account Number].[All]" allUniqueName="[Table2].[Account Number].[All]" dimensionUniqueName="[Table2]" displayFolder="" count="2" memberValueDatatype="5"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Branch Name]" caption="Branch Name" attribute="1" defaultMemberUniqueName="[Table2].[Branch Name].[All]" allUniqueName="[Table2].[Branch Name].[All]" dimensionUniqueName="[Table2]" displayFolder="" count="2" memberValueDatatype="130" unbalanced="0"/>
    <cacheHierarchy uniqueName="[Table2].[Account Type]" caption="Account Type" attribute="1" defaultMemberUniqueName="[Table2].[Account Type].[All]" allUniqueName="[Table2].[Account Type].[All]" dimensionUniqueName="[Table2]" displayFolder="" count="2" memberValueDatatype="130" unbalanced="0">
      <fieldsUsage count="2">
        <fieldUsage x="-1"/>
        <fieldUsage x="2"/>
      </fieldsUsage>
    </cacheHierarchy>
    <cacheHierarchy uniqueName="[Table2].[Transaction Type]" caption="Transaction Type" attribute="1" defaultMemberUniqueName="[Table2].[Transaction Type].[All]" allUniqueName="[Table2].[Transaction Type].[All]" dimensionUniqueName="[Table2]" displayFolder="" count="2" memberValueDatatype="130" unbalanced="0">
      <fieldsUsage count="2">
        <fieldUsage x="-1"/>
        <fieldUsage x="0"/>
      </fieldsUsage>
    </cacheHierarchy>
    <cacheHierarchy uniqueName="[Table2].[Transaction Amount]" caption="Transaction Amount" attribute="1" defaultMemberUniqueName="[Table2].[Transaction Amount].[All]" allUniqueName="[Table2].[Transaction Amount].[All]" dimensionUniqueName="[Table2]" displayFolder="" count="2" memberValueDatatype="5" unbalanced="0"/>
    <cacheHierarchy uniqueName="[Table2].[Payment Mode]" caption="Payment Mode" attribute="1" defaultMemberUniqueName="[Table2].[Payment Mode].[All]" allUniqueName="[Table2].[Payment Mode].[All]" dimensionUniqueName="[Table2]" displayFolder="" count="2"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Transaction Status]" caption="Transaction Status" attribute="1" defaultMemberUniqueName="[Table2].[Transaction Status].[All]" allUniqueName="[Table2].[Transaction Status].[All]" dimensionUniqueName="[Table2]" displayFolder="" count="2" memberValueDatatype="130" unbalanced="0"/>
    <cacheHierarchy uniqueName="[Table2].[Balance After Txn]" caption="Balance After Txn" attribute="1" defaultMemberUniqueName="[Table2].[Balance After Txn].[All]" allUniqueName="[Table2].[Balance After Txn].[All]" dimensionUniqueName="[Table2]" displayFolder="" count="2" memberValueDatatype="5" unbalanced="0"/>
    <cacheHierarchy uniqueName="[Table2].[Is Fraud]" caption="Is Fraud" attribute="1" defaultMemberUniqueName="[Table2].[Is Fraud].[All]" allUniqueName="[Table2].[Is Fraud].[All]" dimensionUniqueName="[Table2]" displayFolder="" count="2" memberValueDatatype="130" unbalanced="0"/>
    <cacheHierarchy uniqueName="[Table2].[year_month]" caption="year_month" attribute="1" defaultMemberUniqueName="[Table2].[year_month].[All]" allUniqueName="[Table2].[year_month].[All]" dimensionUniqueName="[Table2]" displayFolder="" count="2"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2"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2333796297" backgroundQuery="1" createdVersion="8" refreshedVersion="8" minRefreshableVersion="3" recordCount="0" supportSubquery="1" supportAdvancedDrill="1" xr:uid="{6D99CD3E-8E3C-4682-A142-8AECB6E15A0D}">
  <cacheSource type="external" connectionId="1"/>
  <cacheFields count="3">
    <cacheField name="[Table2].[Is Fraud].[Is Fraud]" caption="Is Fraud" numFmtId="0" hierarchy="23" level="1">
      <sharedItems count="2">
        <s v="No"/>
        <s v="Yes"/>
      </sharedItems>
    </cacheField>
    <cacheField name="[Table2].[Payment Mode].[Payment Mode]" caption="Payment Mode" numFmtId="0" hierarchy="19" level="1">
      <sharedItems count="5">
        <s v="Cash"/>
        <s v="Credit Card"/>
        <s v="Debit Card"/>
        <s v="Net Banking"/>
        <s v="UPI"/>
      </sharedItems>
    </cacheField>
    <cacheField name="[Measures].[Count of Transaction ID]" caption="Count of Transaction ID" numFmtId="0" hierarchy="38" level="32767"/>
  </cacheFields>
  <cacheHierarchies count="44">
    <cacheHierarchy uniqueName="[Range].[year_month]" caption="year_month" attribute="1" defaultMemberUniqueName="[Range].[year_month].[All]" allUniqueName="[Range].[year_month].[All]" dimensionUniqueName="[Range]" displayFolder="" count="2" memberValueDatatype="130" unbalanced="0"/>
    <cacheHierarchy uniqueName="[Range 1].[Transaction ID]" caption="Transaction ID" attribute="1" defaultMemberUniqueName="[Range 1].[Transaction ID].[All]" allUniqueName="[Range 1].[Transaction ID].[All]" dimensionUniqueName="[Range 1]" displayFolder="" count="2" memberValueDatatype="130" unbalanced="0"/>
    <cacheHierarchy uniqueName="[Range 2].[Transaction Status]" caption="Transaction Status" attribute="1" defaultMemberUniqueName="[Range 2].[Transaction Status].[All]" allUniqueName="[Range 2].[Transaction Status].[All]" dimensionUniqueName="[Range 2]" displayFolder="" count="2" memberValueDatatype="130" unbalanced="0"/>
    <cacheHierarchy uniqueName="[Range 3].[UPI]" caption="UPI" attribute="1" defaultMemberUniqueName="[Range 3].[UPI].[All]" allUniqueName="[Range 3].[UPI].[All]" dimensionUniqueName="[Range 3]" displayFolder="" count="2" memberValueDatatype="130" unbalanced="0"/>
    <cacheHierarchy uniqueName="[Range 4].[Transaction Amount]" caption="Transaction Amount" attribute="1" defaultMemberUniqueName="[Range 4].[Transaction Amount].[All]" allUniqueName="[Range 4].[Transaction Amount].[All]" dimensionUniqueName="[Range 4]" displayFolder="" count="2" memberValueDatatype="5" unbalanced="0"/>
    <cacheHierarchy uniqueName="[Range 5].[City]" caption="City" attribute="1" defaultMemberUniqueName="[Range 5].[City].[All]" allUniqueName="[Range 5].[City].[All]" dimensionUniqueName="[Range 5]" displayFolder="" count="2" memberValueDatatype="130" unbalanced="0"/>
    <cacheHierarchy uniqueName="[Range 6].[Is Fraud]" caption="Is Fraud" attribute="1" defaultMemberUniqueName="[Range 6].[Is Fraud].[All]" allUniqueName="[Range 6].[Is Fraud].[All]" dimensionUniqueName="[Range 6]" displayFolder="" count="2" memberValueDatatype="130" unbalanced="0"/>
    <cacheHierarchy uniqueName="[Range 7].[Transaction Type]" caption="Transaction Type" attribute="1" defaultMemberUniqueName="[Range 7].[Transaction Type].[All]" allUniqueName="[Range 7].[Transaction Type].[All]" dimensionUniqueName="[Range 7]" displayFolder="" count="2" memberValueDatatype="130" unbalanced="0"/>
    <cacheHierarchy uniqueName="[Range 8].[Customer ID]" caption="Customer ID" attribute="1" defaultMemberUniqueName="[Range 8].[Customer ID].[All]" allUniqueName="[Range 8].[Customer ID].[All]" dimensionUniqueName="[Range 8]" displayFolder="" count="2" memberValueDatatype="20" unbalanced="0"/>
    <cacheHierarchy uniqueName="[Table2].[Transaction ID]" caption="Transaction ID" attribute="1" defaultMemberUniqueName="[Table2].[Transaction ID].[All]" allUniqueName="[Table2].[Transaction ID].[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ccount Number]" caption="Account Number" attribute="1" defaultMemberUniqueName="[Table2].[Account Number].[All]" allUniqueName="[Table2].[Account Number].[All]" dimensionUniqueName="[Table2]" displayFolder="" count="2" memberValueDatatype="5"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Branch Name]" caption="Branch Name" attribute="1" defaultMemberUniqueName="[Table2].[Branch Name].[All]" allUniqueName="[Table2].[Branch Name].[All]" dimensionUniqueName="[Table2]" displayFolder="" count="2" memberValueDatatype="130" unbalanced="0"/>
    <cacheHierarchy uniqueName="[Table2].[Account Type]" caption="Account Type" attribute="1" defaultMemberUniqueName="[Table2].[Account Type].[All]" allUniqueName="[Table2].[Account Type].[All]" dimensionUniqueName="[Table2]" displayFolder="" count="2"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cacheHierarchy uniqueName="[Table2].[Transaction Amount]" caption="Transaction Amount" attribute="1" defaultMemberUniqueName="[Table2].[Transaction Amount].[All]" allUniqueName="[Table2].[Transaction Amount].[All]" dimensionUniqueName="[Table2]" displayFolder="" count="2" memberValueDatatype="5" unbalanced="0"/>
    <cacheHierarchy uniqueName="[Table2].[Payment Mode]" caption="Payment Mode" attribute="1" defaultMemberUniqueName="[Table2].[Payment Mode].[All]" allUniqueName="[Table2].[Payment Mode].[All]" dimensionUniqueName="[Table2]" displayFolder="" count="2" memberValueDatatype="130" unbalanced="0">
      <fieldsUsage count="2">
        <fieldUsage x="-1"/>
        <fieldUsage x="1"/>
      </fieldsUsage>
    </cacheHierarchy>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Transaction Status]" caption="Transaction Status" attribute="1" defaultMemberUniqueName="[Table2].[Transaction Status].[All]" allUniqueName="[Table2].[Transaction Status].[All]" dimensionUniqueName="[Table2]" displayFolder="" count="2" memberValueDatatype="130" unbalanced="0"/>
    <cacheHierarchy uniqueName="[Table2].[Balance After Txn]" caption="Balance After Txn" attribute="1" defaultMemberUniqueName="[Table2].[Balance After Txn].[All]" allUniqueName="[Table2].[Balance After Txn].[All]" dimensionUniqueName="[Table2]" displayFolder="" count="2" memberValueDatatype="5" unbalanced="0"/>
    <cacheHierarchy uniqueName="[Table2].[Is Fraud]" caption="Is Fraud" attribute="1" defaultMemberUniqueName="[Table2].[Is Fraud].[All]" allUniqueName="[Table2].[Is Fraud].[All]" dimensionUniqueName="[Table2]" displayFolder="" count="2" memberValueDatatype="130" unbalanced="0">
      <fieldsUsage count="2">
        <fieldUsage x="-1"/>
        <fieldUsage x="0"/>
      </fieldsUsage>
    </cacheHierarchy>
    <cacheHierarchy uniqueName="[Table2].[year_month]" caption="year_month" attribute="1" defaultMemberUniqueName="[Table2].[year_month].[All]" allUniqueName="[Table2].[year_month].[All]" dimensionUniqueName="[Table2]" displayFolder="" count="2"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2"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2455439817" backgroundQuery="1" createdVersion="8" refreshedVersion="8" minRefreshableVersion="3" recordCount="0" supportSubquery="1" supportAdvancedDrill="1" xr:uid="{856A6039-10FB-4AC8-B474-BDB82802FFC5}">
  <cacheSource type="external" connectionId="1"/>
  <cacheFields count="3">
    <cacheField name="[Table2].[year_month].[year_month]" caption="year_month" numFmtId="0" hierarchy="24" level="1">
      <sharedItems count="25">
        <s v="2023-07"/>
        <s v="2023-08"/>
        <s v="2023-09"/>
        <s v="2023-10"/>
        <s v="2023-11"/>
        <s v="2023-12"/>
        <s v="2024-01"/>
        <s v="2024-02"/>
        <s v="2024-03"/>
        <s v="2024-04"/>
        <s v="2024-05"/>
        <s v="2024-06"/>
        <s v="2024-07"/>
        <s v="2024-08"/>
        <s v="2024-09"/>
        <s v="2024-10"/>
        <s v="2024-11"/>
        <s v="2024-12"/>
        <s v="2025-01"/>
        <s v="2025-02"/>
        <s v="2025-03"/>
        <s v="2025-04"/>
        <s v="2025-05"/>
        <s v="2025-06"/>
        <s v="2025-07"/>
      </sharedItems>
    </cacheField>
    <cacheField name="[Table2].[Is Fraud].[Is Fraud]" caption="Is Fraud" numFmtId="0" hierarchy="23" level="1">
      <sharedItems count="2">
        <s v="No"/>
        <s v="Yes"/>
      </sharedItems>
    </cacheField>
    <cacheField name="[Measures].[Count of Transaction ID]" caption="Count of Transaction ID" numFmtId="0" hierarchy="38" level="32767"/>
  </cacheFields>
  <cacheHierarchies count="44">
    <cacheHierarchy uniqueName="[Range].[year_month]" caption="year_month" attribute="1" defaultMemberUniqueName="[Range].[year_month].[All]" allUniqueName="[Range].[year_month].[All]" dimensionUniqueName="[Range]" displayFolder="" count="2" memberValueDatatype="130" unbalanced="0"/>
    <cacheHierarchy uniqueName="[Range 1].[Transaction ID]" caption="Transaction ID" attribute="1" defaultMemberUniqueName="[Range 1].[Transaction ID].[All]" allUniqueName="[Range 1].[Transaction ID].[All]" dimensionUniqueName="[Range 1]" displayFolder="" count="2" memberValueDatatype="130" unbalanced="0"/>
    <cacheHierarchy uniqueName="[Range 2].[Transaction Status]" caption="Transaction Status" attribute="1" defaultMemberUniqueName="[Range 2].[Transaction Status].[All]" allUniqueName="[Range 2].[Transaction Status].[All]" dimensionUniqueName="[Range 2]" displayFolder="" count="2" memberValueDatatype="130" unbalanced="0"/>
    <cacheHierarchy uniqueName="[Range 3].[UPI]" caption="UPI" attribute="1" defaultMemberUniqueName="[Range 3].[UPI].[All]" allUniqueName="[Range 3].[UPI].[All]" dimensionUniqueName="[Range 3]" displayFolder="" count="2" memberValueDatatype="130" unbalanced="0"/>
    <cacheHierarchy uniqueName="[Range 4].[Transaction Amount]" caption="Transaction Amount" attribute="1" defaultMemberUniqueName="[Range 4].[Transaction Amount].[All]" allUniqueName="[Range 4].[Transaction Amount].[All]" dimensionUniqueName="[Range 4]" displayFolder="" count="2" memberValueDatatype="5" unbalanced="0"/>
    <cacheHierarchy uniqueName="[Range 5].[City]" caption="City" attribute="1" defaultMemberUniqueName="[Range 5].[City].[All]" allUniqueName="[Range 5].[City].[All]" dimensionUniqueName="[Range 5]" displayFolder="" count="2" memberValueDatatype="130" unbalanced="0"/>
    <cacheHierarchy uniqueName="[Range 6].[Is Fraud]" caption="Is Fraud" attribute="1" defaultMemberUniqueName="[Range 6].[Is Fraud].[All]" allUniqueName="[Range 6].[Is Fraud].[All]" dimensionUniqueName="[Range 6]" displayFolder="" count="2" memberValueDatatype="130" unbalanced="0"/>
    <cacheHierarchy uniqueName="[Range 7].[Transaction Type]" caption="Transaction Type" attribute="1" defaultMemberUniqueName="[Range 7].[Transaction Type].[All]" allUniqueName="[Range 7].[Transaction Type].[All]" dimensionUniqueName="[Range 7]" displayFolder="" count="2" memberValueDatatype="130" unbalanced="0"/>
    <cacheHierarchy uniqueName="[Range 8].[Customer ID]" caption="Customer ID" attribute="1" defaultMemberUniqueName="[Range 8].[Customer ID].[All]" allUniqueName="[Range 8].[Customer ID].[All]" dimensionUniqueName="[Range 8]" displayFolder="" count="2" memberValueDatatype="20" unbalanced="0"/>
    <cacheHierarchy uniqueName="[Table2].[Transaction ID]" caption="Transaction ID" attribute="1" defaultMemberUniqueName="[Table2].[Transaction ID].[All]" allUniqueName="[Table2].[Transaction ID].[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ccount Number]" caption="Account Number" attribute="1" defaultMemberUniqueName="[Table2].[Account Number].[All]" allUniqueName="[Table2].[Account Number].[All]" dimensionUniqueName="[Table2]" displayFolder="" count="2" memberValueDatatype="5"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Branch Name]" caption="Branch Name" attribute="1" defaultMemberUniqueName="[Table2].[Branch Name].[All]" allUniqueName="[Table2].[Branch Name].[All]" dimensionUniqueName="[Table2]" displayFolder="" count="2" memberValueDatatype="130" unbalanced="0"/>
    <cacheHierarchy uniqueName="[Table2].[Account Type]" caption="Account Type" attribute="1" defaultMemberUniqueName="[Table2].[Account Type].[All]" allUniqueName="[Table2].[Account Type].[All]" dimensionUniqueName="[Table2]" displayFolder="" count="2"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cacheHierarchy uniqueName="[Table2].[Transaction Amount]" caption="Transaction Amount" attribute="1" defaultMemberUniqueName="[Table2].[Transaction Amount].[All]" allUniqueName="[Table2].[Transaction Amount].[All]" dimensionUniqueName="[Table2]" displayFolder="" count="2" memberValueDatatype="5" unbalanced="0"/>
    <cacheHierarchy uniqueName="[Table2].[Payment Mode]" caption="Payment Mode" attribute="1" defaultMemberUniqueName="[Table2].[Payment Mode].[All]" allUniqueName="[Table2].[Payment Mode].[All]" dimensionUniqueName="[Table2]" displayFolder="" count="2"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Transaction Status]" caption="Transaction Status" attribute="1" defaultMemberUniqueName="[Table2].[Transaction Status].[All]" allUniqueName="[Table2].[Transaction Status].[All]" dimensionUniqueName="[Table2]" displayFolder="" count="2" memberValueDatatype="130" unbalanced="0"/>
    <cacheHierarchy uniqueName="[Table2].[Balance After Txn]" caption="Balance After Txn" attribute="1" defaultMemberUniqueName="[Table2].[Balance After Txn].[All]" allUniqueName="[Table2].[Balance After Txn].[All]" dimensionUniqueName="[Table2]" displayFolder="" count="2" memberValueDatatype="5" unbalanced="0"/>
    <cacheHierarchy uniqueName="[Table2].[Is Fraud]" caption="Is Fraud" attribute="1" defaultMemberUniqueName="[Table2].[Is Fraud].[All]" allUniqueName="[Table2].[Is Fraud].[All]" dimensionUniqueName="[Table2]" displayFolder="" count="2" memberValueDatatype="130" unbalanced="0">
      <fieldsUsage count="2">
        <fieldUsage x="-1"/>
        <fieldUsage x="1"/>
      </fieldsUsage>
    </cacheHierarchy>
    <cacheHierarchy uniqueName="[Table2].[year_month]" caption="year_month" attribute="1" defaultMemberUniqueName="[Table2].[year_month].[All]" allUniqueName="[Table2].[year_month].[All]" dimensionUniqueName="[Table2]" displayFolder="" count="2" memberValueDatatype="130" unbalanced="0">
      <fieldsUsage count="2">
        <fieldUsage x="-1"/>
        <fieldUsage x="0"/>
      </fieldsUsage>
    </cacheHierarchy>
    <cacheHierarchy uniqueName="[Table2 Transaction ID].[Transaction ID]" caption="Transaction ID" attribute="1" defaultMemberUniqueName="[Table2 Transaction ID].[Transaction ID].[All]" allUniqueName="[Table2 Transaction ID].[Transaction ID].[All]" dimensionUniqueName="[Table2 Transaction ID]" displayFolder="" count="2"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92664120371" backgroundQuery="1" createdVersion="8" refreshedVersion="8" minRefreshableVersion="3" recordCount="0" supportSubquery="1" supportAdvancedDrill="1" xr:uid="{11CEBD5F-84CB-4A5B-AF62-91B7D78DA42F}">
  <cacheSource type="external" connectionId="1"/>
  <cacheFields count="4">
    <cacheField name="[Table2].[Transaction Type].[Transaction Type]" caption="Transaction Type" numFmtId="0" hierarchy="17" level="1">
      <sharedItems count="4">
        <s v="Cheque"/>
        <s v="Deposit"/>
        <s v="Online Transfer"/>
        <s v="Withdrawal"/>
      </sharedItems>
    </cacheField>
    <cacheField name="[Table2].[Is Fraud].[Is Fraud]" caption="Is Fraud" numFmtId="0" hierarchy="23" level="1">
      <sharedItems count="2">
        <s v="No"/>
        <s v="Yes"/>
      </sharedItems>
    </cacheField>
    <cacheField name="[Measures].[Count of Transaction ID]" caption="Count of Transaction ID" numFmtId="0" hierarchy="38" level="32767"/>
    <cacheField name="[Range 6].[Is Fraud].[Is Fraud]" caption="Is Fraud" numFmtId="0" hierarchy="6" level="1">
      <sharedItems containsSemiMixedTypes="0" containsNonDate="0" containsString="0"/>
    </cacheField>
  </cacheFields>
  <cacheHierarchies count="44">
    <cacheHierarchy uniqueName="[Range].[year_month]" caption="year_month" attribute="1" defaultMemberUniqueName="[Range].[year_month].[All]" allUniqueName="[Range].[year_month].[All]" dimensionUniqueName="[Range]" displayFolder="" count="2" memberValueDatatype="130" unbalanced="0"/>
    <cacheHierarchy uniqueName="[Range 1].[Transaction ID]" caption="Transaction ID" attribute="1" defaultMemberUniqueName="[Range 1].[Transaction ID].[All]" allUniqueName="[Range 1].[Transaction ID].[All]" dimensionUniqueName="[Range 1]" displayFolder="" count="2" memberValueDatatype="130" unbalanced="0"/>
    <cacheHierarchy uniqueName="[Range 2].[Transaction Status]" caption="Transaction Status" attribute="1" defaultMemberUniqueName="[Range 2].[Transaction Status].[All]" allUniqueName="[Range 2].[Transaction Status].[All]" dimensionUniqueName="[Range 2]" displayFolder="" count="2" memberValueDatatype="130" unbalanced="0"/>
    <cacheHierarchy uniqueName="[Range 3].[UPI]" caption="UPI" attribute="1" defaultMemberUniqueName="[Range 3].[UPI].[All]" allUniqueName="[Range 3].[UPI].[All]" dimensionUniqueName="[Range 3]" displayFolder="" count="2" memberValueDatatype="130" unbalanced="0"/>
    <cacheHierarchy uniqueName="[Range 4].[Transaction Amount]" caption="Transaction Amount" attribute="1" defaultMemberUniqueName="[Range 4].[Transaction Amount].[All]" allUniqueName="[Range 4].[Transaction Amount].[All]" dimensionUniqueName="[Range 4]" displayFolder="" count="2" memberValueDatatype="5" unbalanced="0"/>
    <cacheHierarchy uniqueName="[Range 5].[City]" caption="City" attribute="1" defaultMemberUniqueName="[Range 5].[City].[All]" allUniqueName="[Range 5].[City].[All]" dimensionUniqueName="[Range 5]" displayFolder="" count="2" memberValueDatatype="130" unbalanced="0"/>
    <cacheHierarchy uniqueName="[Range 6].[Is Fraud]" caption="Is Fraud" attribute="1" defaultMemberUniqueName="[Range 6].[Is Fraud].[All]" allUniqueName="[Range 6].[Is Fraud].[All]" dimensionUniqueName="[Range 6]" displayFolder="" count="2" memberValueDatatype="130" unbalanced="0">
      <fieldsUsage count="2">
        <fieldUsage x="-1"/>
        <fieldUsage x="3"/>
      </fieldsUsage>
    </cacheHierarchy>
    <cacheHierarchy uniqueName="[Range 7].[Transaction Type]" caption="Transaction Type" attribute="1" defaultMemberUniqueName="[Range 7].[Transaction Type].[All]" allUniqueName="[Range 7].[Transaction Type].[All]" dimensionUniqueName="[Range 7]" displayFolder="" count="2" memberValueDatatype="130" unbalanced="0"/>
    <cacheHierarchy uniqueName="[Range 8].[Customer ID]" caption="Customer ID" attribute="1" defaultMemberUniqueName="[Range 8].[Customer ID].[All]" allUniqueName="[Range 8].[Customer ID].[All]" dimensionUniqueName="[Range 8]" displayFolder="" count="2" memberValueDatatype="20" unbalanced="0"/>
    <cacheHierarchy uniqueName="[Table2].[Transaction ID]" caption="Transaction ID" attribute="1" defaultMemberUniqueName="[Table2].[Transaction ID].[All]" allUniqueName="[Table2].[Transaction ID].[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ccount Number]" caption="Account Number" attribute="1" defaultMemberUniqueName="[Table2].[Account Number].[All]" allUniqueName="[Table2].[Account Number].[All]" dimensionUniqueName="[Table2]" displayFolder="" count="2" memberValueDatatype="5"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Branch Name]" caption="Branch Name" attribute="1" defaultMemberUniqueName="[Table2].[Branch Name].[All]" allUniqueName="[Table2].[Branch Name].[All]" dimensionUniqueName="[Table2]" displayFolder="" count="2" memberValueDatatype="130" unbalanced="0"/>
    <cacheHierarchy uniqueName="[Table2].[Account Type]" caption="Account Type" attribute="1" defaultMemberUniqueName="[Table2].[Account Type].[All]" allUniqueName="[Table2].[Account Type].[All]" dimensionUniqueName="[Table2]" displayFolder="" count="2"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fieldsUsage count="2">
        <fieldUsage x="-1"/>
        <fieldUsage x="0"/>
      </fieldsUsage>
    </cacheHierarchy>
    <cacheHierarchy uniqueName="[Table2].[Transaction Amount]" caption="Transaction Amount" attribute="1" defaultMemberUniqueName="[Table2].[Transaction Amount].[All]" allUniqueName="[Table2].[Transaction Amount].[All]" dimensionUniqueName="[Table2]" displayFolder="" count="2" memberValueDatatype="5" unbalanced="0"/>
    <cacheHierarchy uniqueName="[Table2].[Payment Mode]" caption="Payment Mode" attribute="1" defaultMemberUniqueName="[Table2].[Payment Mode].[All]" allUniqueName="[Table2].[Payment Mode].[All]" dimensionUniqueName="[Table2]" displayFolder="" count="2"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Transaction Status]" caption="Transaction Status" attribute="1" defaultMemberUniqueName="[Table2].[Transaction Status].[All]" allUniqueName="[Table2].[Transaction Status].[All]" dimensionUniqueName="[Table2]" displayFolder="" count="2" memberValueDatatype="130" unbalanced="0"/>
    <cacheHierarchy uniqueName="[Table2].[Balance After Txn]" caption="Balance After Txn" attribute="1" defaultMemberUniqueName="[Table2].[Balance After Txn].[All]" allUniqueName="[Table2].[Balance After Txn].[All]" dimensionUniqueName="[Table2]" displayFolder="" count="2" memberValueDatatype="5" unbalanced="0"/>
    <cacheHierarchy uniqueName="[Table2].[Is Fraud]" caption="Is Fraud" attribute="1" defaultMemberUniqueName="[Table2].[Is Fraud].[All]" allUniqueName="[Table2].[Is Fraud].[All]" dimensionUniqueName="[Table2]" displayFolder="" count="2" memberValueDatatype="130" unbalanced="0">
      <fieldsUsage count="2">
        <fieldUsage x="-1"/>
        <fieldUsage x="1"/>
      </fieldsUsage>
    </cacheHierarchy>
    <cacheHierarchy uniqueName="[Table2].[year_month]" caption="year_month" attribute="1" defaultMemberUniqueName="[Table2].[year_month].[All]" allUniqueName="[Table2].[year_month].[All]" dimensionUniqueName="[Table2]" displayFolder="" count="2"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2"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70.756745370367" backgroundQuery="1" createdVersion="8" refreshedVersion="8" minRefreshableVersion="3" recordCount="0" supportSubquery="1" supportAdvancedDrill="1" xr:uid="{B10AA69B-08A7-4698-B63A-661511B57810}">
  <cacheSource type="external" connectionId="1"/>
  <cacheFields count="4">
    <cacheField name="[Table2].[Region].[Region]" caption="Region" numFmtId="0" hierarchy="13" level="1">
      <sharedItems count="5">
        <s v="Central"/>
        <s v="East"/>
        <s v="North"/>
        <s v="South"/>
        <s v="West"/>
      </sharedItems>
    </cacheField>
    <cacheField name="[Measures].[Sum of Transaction Amount]" caption="Sum of Transaction Amount" numFmtId="0" hierarchy="40" level="32767"/>
    <cacheField name="[Table2].[Payment Mode].[Payment Mode]" caption="Payment Mode" numFmtId="0" hierarchy="19" level="1">
      <sharedItems containsSemiMixedTypes="0" containsNonDate="0" containsString="0"/>
    </cacheField>
    <cacheField name="[Table2].[Transaction Type].[Transaction Type]" caption="Transaction Type" numFmtId="0" hierarchy="17" level="1">
      <sharedItems containsSemiMixedTypes="0" containsNonDate="0" containsString="0"/>
    </cacheField>
  </cacheFields>
  <cacheHierarchies count="44">
    <cacheHierarchy uniqueName="[Range].[year_month]" caption="year_month" attribute="1" defaultMemberUniqueName="[Range].[year_month].[All]" allUniqueName="[Range].[year_month].[All]" dimensionUniqueName="[Range]" displayFolder="" count="2" memberValueDatatype="130" unbalanced="0"/>
    <cacheHierarchy uniqueName="[Range 1].[Transaction ID]" caption="Transaction ID" attribute="1" defaultMemberUniqueName="[Range 1].[Transaction ID].[All]" allUniqueName="[Range 1].[Transaction ID].[All]" dimensionUniqueName="[Range 1]" displayFolder="" count="2" memberValueDatatype="130" unbalanced="0"/>
    <cacheHierarchy uniqueName="[Range 2].[Transaction Status]" caption="Transaction Status" attribute="1" defaultMemberUniqueName="[Range 2].[Transaction Status].[All]" allUniqueName="[Range 2].[Transaction Status].[All]" dimensionUniqueName="[Range 2]" displayFolder="" count="2" memberValueDatatype="130" unbalanced="0"/>
    <cacheHierarchy uniqueName="[Range 3].[UPI]" caption="UPI" attribute="1" defaultMemberUniqueName="[Range 3].[UPI].[All]" allUniqueName="[Range 3].[UPI].[All]" dimensionUniqueName="[Range 3]" displayFolder="" count="2" memberValueDatatype="130" unbalanced="0"/>
    <cacheHierarchy uniqueName="[Range 4].[Transaction Amount]" caption="Transaction Amount" attribute="1" defaultMemberUniqueName="[Range 4].[Transaction Amount].[All]" allUniqueName="[Range 4].[Transaction Amount].[All]" dimensionUniqueName="[Range 4]" displayFolder="" count="2" memberValueDatatype="5" unbalanced="0"/>
    <cacheHierarchy uniqueName="[Range 5].[City]" caption="City" attribute="1" defaultMemberUniqueName="[Range 5].[City].[All]" allUniqueName="[Range 5].[City].[All]" dimensionUniqueName="[Range 5]" displayFolder="" count="2" memberValueDatatype="130" unbalanced="0"/>
    <cacheHierarchy uniqueName="[Range 6].[Is Fraud]" caption="Is Fraud" attribute="1" defaultMemberUniqueName="[Range 6].[Is Fraud].[All]" allUniqueName="[Range 6].[Is Fraud].[All]" dimensionUniqueName="[Range 6]" displayFolder="" count="2" memberValueDatatype="130" unbalanced="0"/>
    <cacheHierarchy uniqueName="[Range 7].[Transaction Type]" caption="Transaction Type" attribute="1" defaultMemberUniqueName="[Range 7].[Transaction Type].[All]" allUniqueName="[Range 7].[Transaction Type].[All]" dimensionUniqueName="[Range 7]" displayFolder="" count="2" memberValueDatatype="130" unbalanced="0"/>
    <cacheHierarchy uniqueName="[Range 8].[Customer ID]" caption="Customer ID" attribute="1" defaultMemberUniqueName="[Range 8].[Customer ID].[All]" allUniqueName="[Range 8].[Customer ID].[All]" dimensionUniqueName="[Range 8]" displayFolder="" count="2" memberValueDatatype="20" unbalanced="0"/>
    <cacheHierarchy uniqueName="[Table2].[Transaction ID]" caption="Transaction ID" attribute="1" defaultMemberUniqueName="[Table2].[Transaction ID].[All]" allUniqueName="[Table2].[Transaction ID].[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ccount Number]" caption="Account Number" attribute="1" defaultMemberUniqueName="[Table2].[Account Number].[All]" allUniqueName="[Table2].[Account Number].[All]" dimensionUniqueName="[Table2]" displayFolder="" count="2" memberValueDatatype="5" unbalanced="0"/>
    <cacheHierarchy uniqueName="[Table2].[Region]" caption="Region" attribute="1" defaultMemberUniqueName="[Table2].[Region].[All]" allUniqueName="[Table2].[Region].[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2" memberValueDatatype="130" unbalanced="0"/>
    <cacheHierarchy uniqueName="[Table2].[Branch Name]" caption="Branch Name" attribute="1" defaultMemberUniqueName="[Table2].[Branch Name].[All]" allUniqueName="[Table2].[Branch Name].[All]" dimensionUniqueName="[Table2]" displayFolder="" count="2" memberValueDatatype="130" unbalanced="0"/>
    <cacheHierarchy uniqueName="[Table2].[Account Type]" caption="Account Type" attribute="1" defaultMemberUniqueName="[Table2].[Account Type].[All]" allUniqueName="[Table2].[Account Type].[All]" dimensionUniqueName="[Table2]" displayFolder="" count="2"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fieldsUsage count="2">
        <fieldUsage x="-1"/>
        <fieldUsage x="3"/>
      </fieldsUsage>
    </cacheHierarchy>
    <cacheHierarchy uniqueName="[Table2].[Transaction Amount]" caption="Transaction Amount" attribute="1" defaultMemberUniqueName="[Table2].[Transaction Amount].[All]" allUniqueName="[Table2].[Transaction Amount].[All]" dimensionUniqueName="[Table2]" displayFolder="" count="2" memberValueDatatype="5" unbalanced="0"/>
    <cacheHierarchy uniqueName="[Table2].[Payment Mode]" caption="Payment Mode" attribute="1" defaultMemberUniqueName="[Table2].[Payment Mode].[All]" allUniqueName="[Table2].[Payment Mode].[All]" dimensionUniqueName="[Table2]" displayFolder="" count="2" memberValueDatatype="130" unbalanced="0">
      <fieldsUsage count="2">
        <fieldUsage x="-1"/>
        <fieldUsage x="2"/>
      </fieldsUsage>
    </cacheHierarchy>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Transaction Status]" caption="Transaction Status" attribute="1" defaultMemberUniqueName="[Table2].[Transaction Status].[All]" allUniqueName="[Table2].[Transaction Status].[All]" dimensionUniqueName="[Table2]" displayFolder="" count="2" memberValueDatatype="130" unbalanced="0"/>
    <cacheHierarchy uniqueName="[Table2].[Balance After Txn]" caption="Balance After Txn" attribute="1" defaultMemberUniqueName="[Table2].[Balance After Txn].[All]" allUniqueName="[Table2].[Balance After Txn].[All]" dimensionUniqueName="[Table2]" displayFolder="" count="2" memberValueDatatype="5" unbalanced="0"/>
    <cacheHierarchy uniqueName="[Table2].[Is Fraud]" caption="Is Fraud" attribute="1" defaultMemberUniqueName="[Table2].[Is Fraud].[All]" allUniqueName="[Table2].[Is Fraud].[All]" dimensionUniqueName="[Table2]" displayFolder="" count="2" memberValueDatatype="130" unbalanced="0"/>
    <cacheHierarchy uniqueName="[Table2].[year_month]" caption="year_month" attribute="1" defaultMemberUniqueName="[Table2].[year_month].[All]" allUniqueName="[Table2].[year_month].[All]" dimensionUniqueName="[Table2]" displayFolder="" count="2"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2"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71.673560995368" backgroundQuery="1" createdVersion="8" refreshedVersion="8" minRefreshableVersion="3" recordCount="0" supportSubquery="1" supportAdvancedDrill="1" xr:uid="{30934E32-A0DA-44B3-A82C-985E648EB9A2}">
  <cacheSource type="external" connectionId="1"/>
  <cacheFields count="2">
    <cacheField name="[Table2].[Transaction Type].[Transaction Type]" caption="Transaction Type" numFmtId="0" hierarchy="17" level="1">
      <sharedItems count="4">
        <s v="Cheque"/>
        <s v="Deposit"/>
        <s v="Online Transfer"/>
        <s v="Withdrawal"/>
      </sharedItems>
    </cacheField>
    <cacheField name="[Measures].[Sum of Transaction Amount]" caption="Sum of Transaction Amount" numFmtId="0" hierarchy="40" level="32767"/>
  </cacheFields>
  <cacheHierarchies count="44">
    <cacheHierarchy uniqueName="[Range].[year_month]" caption="year_month" attribute="1" defaultMemberUniqueName="[Range].[year_month].[All]" allUniqueName="[Range].[year_month].[All]" dimensionUniqueName="[Range]" displayFolder="" count="2" memberValueDatatype="130" unbalanced="0"/>
    <cacheHierarchy uniqueName="[Range 1].[Transaction ID]" caption="Transaction ID" attribute="1" defaultMemberUniqueName="[Range 1].[Transaction ID].[All]" allUniqueName="[Range 1].[Transaction ID].[All]" dimensionUniqueName="[Range 1]" displayFolder="" count="2" memberValueDatatype="130" unbalanced="0"/>
    <cacheHierarchy uniqueName="[Range 2].[Transaction Status]" caption="Transaction Status" attribute="1" defaultMemberUniqueName="[Range 2].[Transaction Status].[All]" allUniqueName="[Range 2].[Transaction Status].[All]" dimensionUniqueName="[Range 2]" displayFolder="" count="2" memberValueDatatype="130" unbalanced="0"/>
    <cacheHierarchy uniqueName="[Range 3].[UPI]" caption="UPI" attribute="1" defaultMemberUniqueName="[Range 3].[UPI].[All]" allUniqueName="[Range 3].[UPI].[All]" dimensionUniqueName="[Range 3]" displayFolder="" count="2" memberValueDatatype="130" unbalanced="0"/>
    <cacheHierarchy uniqueName="[Range 4].[Transaction Amount]" caption="Transaction Amount" attribute="1" defaultMemberUniqueName="[Range 4].[Transaction Amount].[All]" allUniqueName="[Range 4].[Transaction Amount].[All]" dimensionUniqueName="[Range 4]" displayFolder="" count="2" memberValueDatatype="5" unbalanced="0"/>
    <cacheHierarchy uniqueName="[Range 5].[City]" caption="City" attribute="1" defaultMemberUniqueName="[Range 5].[City].[All]" allUniqueName="[Range 5].[City].[All]" dimensionUniqueName="[Range 5]" displayFolder="" count="2" memberValueDatatype="130" unbalanced="0"/>
    <cacheHierarchy uniqueName="[Range 6].[Is Fraud]" caption="Is Fraud" attribute="1" defaultMemberUniqueName="[Range 6].[Is Fraud].[All]" allUniqueName="[Range 6].[Is Fraud].[All]" dimensionUniqueName="[Range 6]" displayFolder="" count="2" memberValueDatatype="130" unbalanced="0"/>
    <cacheHierarchy uniqueName="[Range 7].[Transaction Type]" caption="Transaction Type" attribute="1" defaultMemberUniqueName="[Range 7].[Transaction Type].[All]" allUniqueName="[Range 7].[Transaction Type].[All]" dimensionUniqueName="[Range 7]" displayFolder="" count="2" memberValueDatatype="130" unbalanced="0"/>
    <cacheHierarchy uniqueName="[Range 8].[Customer ID]" caption="Customer ID" attribute="1" defaultMemberUniqueName="[Range 8].[Customer ID].[All]" allUniqueName="[Range 8].[Customer ID].[All]" dimensionUniqueName="[Range 8]" displayFolder="" count="2" memberValueDatatype="20" unbalanced="0"/>
    <cacheHierarchy uniqueName="[Table2].[Transaction ID]" caption="Transaction ID" attribute="1" defaultMemberUniqueName="[Table2].[Transaction ID].[All]" allUniqueName="[Table2].[Transaction ID].[All]" dimensionUniqueName="[Table2]" displayFolder="" count="2" memberValueDatatype="130" unbalanced="0"/>
    <cacheHierarchy uniqueName="[Table2].[Customer ID]" caption="Customer ID" attribute="1" defaultMemberUniqueName="[Table2].[Customer ID].[All]" allUniqueName="[Table2].[Customer ID].[All]" dimensionUniqueName="[Table2]" displayFolder="" count="2" memberValueDatatype="20" unbalanced="0"/>
    <cacheHierarchy uniqueName="[Table2].[Customer Name]" caption="Customer Name" attribute="1" defaultMemberUniqueName="[Table2].[Customer Name].[All]" allUniqueName="[Table2].[Customer Name].[All]" dimensionUniqueName="[Table2]" displayFolder="" count="2" memberValueDatatype="130" unbalanced="0"/>
    <cacheHierarchy uniqueName="[Table2].[Account Number]" caption="Account Number" attribute="1" defaultMemberUniqueName="[Table2].[Account Number].[All]" allUniqueName="[Table2].[Account Number].[All]" dimensionUniqueName="[Table2]" displayFolder="" count="2" memberValueDatatype="5"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2" memberValueDatatype="130" unbalanced="0"/>
    <cacheHierarchy uniqueName="[Table2].[Branch Name]" caption="Branch Name" attribute="1" defaultMemberUniqueName="[Table2].[Branch Name].[All]" allUniqueName="[Table2].[Branch Name].[All]" dimensionUniqueName="[Table2]" displayFolder="" count="2" memberValueDatatype="130" unbalanced="0"/>
    <cacheHierarchy uniqueName="[Table2].[Account Type]" caption="Account Type" attribute="1" defaultMemberUniqueName="[Table2].[Account Type].[All]" allUniqueName="[Table2].[Account Type].[All]" dimensionUniqueName="[Table2]" displayFolder="" count="2"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fieldsUsage count="2">
        <fieldUsage x="-1"/>
        <fieldUsage x="0"/>
      </fieldsUsage>
    </cacheHierarchy>
    <cacheHierarchy uniqueName="[Table2].[Transaction Amount]" caption="Transaction Amount" attribute="1" defaultMemberUniqueName="[Table2].[Transaction Amount].[All]" allUniqueName="[Table2].[Transaction Amount].[All]" dimensionUniqueName="[Table2]" displayFolder="" count="2" memberValueDatatype="5" unbalanced="0"/>
    <cacheHierarchy uniqueName="[Table2].[Payment Mode]" caption="Payment Mode" attribute="1" defaultMemberUniqueName="[Table2].[Payment Mode].[All]" allUniqueName="[Table2].[Payment Mode].[All]" dimensionUniqueName="[Table2]" displayFolder="" count="2" memberValueDatatype="130" unbalanced="0"/>
    <cacheHierarchy uniqueName="[Table2].[Transaction Date]" caption="Transaction Date" attribute="1" time="1" defaultMemberUniqueName="[Table2].[Transaction Date].[All]" allUniqueName="[Table2].[Transaction Date].[All]" dimensionUniqueName="[Table2]" displayFolder="" count="2" memberValueDatatype="7" unbalanced="0"/>
    <cacheHierarchy uniqueName="[Table2].[Transaction Status]" caption="Transaction Status" attribute="1" defaultMemberUniqueName="[Table2].[Transaction Status].[All]" allUniqueName="[Table2].[Transaction Status].[All]" dimensionUniqueName="[Table2]" displayFolder="" count="2" memberValueDatatype="130" unbalanced="0"/>
    <cacheHierarchy uniqueName="[Table2].[Balance After Txn]" caption="Balance After Txn" attribute="1" defaultMemberUniqueName="[Table2].[Balance After Txn].[All]" allUniqueName="[Table2].[Balance After Txn].[All]" dimensionUniqueName="[Table2]" displayFolder="" count="2" memberValueDatatype="5" unbalanced="0"/>
    <cacheHierarchy uniqueName="[Table2].[Is Fraud]" caption="Is Fraud" attribute="1" defaultMemberUniqueName="[Table2].[Is Fraud].[All]" allUniqueName="[Table2].[Is Fraud].[All]" dimensionUniqueName="[Table2]" displayFolder="" count="2" memberValueDatatype="130" unbalanced="0"/>
    <cacheHierarchy uniqueName="[Table2].[year_month]" caption="year_month" attribute="1" defaultMemberUniqueName="[Table2].[year_month].[All]" allUniqueName="[Table2].[year_month].[All]" dimensionUniqueName="[Table2]" displayFolder="" count="2"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2"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dimensions count="12">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 name="Range 4" uniqueName="[Range 4]" caption="Range 4"/>
    <dimension name="Range 5" uniqueName="[Range 5]" caption="Range 5"/>
    <dimension name="Range 6" uniqueName="[Range 6]" caption="Range 6"/>
    <dimension name="Range 7" uniqueName="[Range 7]" caption="Range 7"/>
    <dimension name="Range 8" uniqueName="[Range 8]" caption="Range 8"/>
    <dimension name="Table2" uniqueName="[Table2]" caption="Table2"/>
    <dimension name="Table2 Transaction ID" uniqueName="[Table2 Transaction ID]" caption="Table2 Transaction ID"/>
  </dimensions>
  <measureGroups count="11">
    <measureGroup name="Range" caption="Range"/>
    <measureGroup name="Range 1" caption="Range 1"/>
    <measureGroup name="Range 2" caption="Range 2"/>
    <measureGroup name="Range 3" caption="Range 3"/>
    <measureGroup name="Range 4" caption="Range 4"/>
    <measureGroup name="Range 5" caption="Range 5"/>
    <measureGroup name="Range 6" caption="Range 6"/>
    <measureGroup name="Range 7" caption="Range 7"/>
    <measureGroup name="Range 8" caption="Range 8"/>
    <measureGroup name="Table2" caption="Table2"/>
    <measureGroup name="Table2 Transaction ID" caption="Table2 Transaction ID"/>
  </measureGroups>
  <maps count="11">
    <map measureGroup="0" dimension="1"/>
    <map measureGroup="1" dimension="2"/>
    <map measureGroup="2" dimension="3"/>
    <map measureGroup="3" dimension="4"/>
    <map measureGroup="4" dimension="5"/>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nigdhareddy anumandla" refreshedDate="46269.939304282409" backgroundQuery="1" createdVersion="3" refreshedVersion="8" minRefreshableVersion="3" recordCount="0" supportSubquery="1" supportAdvancedDrill="1" xr:uid="{FA34356E-3AD7-46E8-A155-C12633A3FA99}">
  <cacheSource type="external" connectionId="1">
    <extLst>
      <ext xmlns:x14="http://schemas.microsoft.com/office/spreadsheetml/2009/9/main" uri="{F057638F-6D5F-4e77-A914-E7F072B9BCA8}">
        <x14:sourceConnection name="ThisWorkbookDataModel"/>
      </ext>
    </extLst>
  </cacheSource>
  <cacheFields count="0"/>
  <cacheHierarchies count="44">
    <cacheHierarchy uniqueName="[Range].[year_month]" caption="year_month" attribute="1" defaultMemberUniqueName="[Range].[year_month].[All]" allUniqueName="[Range].[year_month].[All]" dimensionUniqueName="[Range]" displayFolder="" count="0" memberValueDatatype="130" unbalanced="0"/>
    <cacheHierarchy uniqueName="[Range 1].[Transaction ID]" caption="Transaction ID" attribute="1" defaultMemberUniqueName="[Range 1].[Transaction ID].[All]" allUniqueName="[Range 1].[Transaction ID].[All]" dimensionUniqueName="[Range 1]" displayFolder="" count="0" memberValueDatatype="130" unbalanced="0"/>
    <cacheHierarchy uniqueName="[Range 2].[Transaction Status]" caption="Transaction Status" attribute="1" defaultMemberUniqueName="[Range 2].[Transaction Status].[All]" allUniqueName="[Range 2].[Transaction Status].[All]" dimensionUniqueName="[Range 2]" displayFolder="" count="0" memberValueDatatype="130" unbalanced="0"/>
    <cacheHierarchy uniqueName="[Range 3].[UPI]" caption="UPI" attribute="1" defaultMemberUniqueName="[Range 3].[UPI].[All]" allUniqueName="[Range 3].[UPI].[All]" dimensionUniqueName="[Range 3]" displayFolder="" count="0" memberValueDatatype="130" unbalanced="0"/>
    <cacheHierarchy uniqueName="[Range 4].[Transaction Amount]" caption="Transaction Amount" attribute="1" defaultMemberUniqueName="[Range 4].[Transaction Amount].[All]" allUniqueName="[Range 4].[Transaction Amount].[All]" dimensionUniqueName="[Range 4]" displayFolder="" count="0" memberValueDatatype="5" unbalanced="0"/>
    <cacheHierarchy uniqueName="[Range 5].[City]" caption="City" attribute="1" defaultMemberUniqueName="[Range 5].[City].[All]" allUniqueName="[Range 5].[City].[All]" dimensionUniqueName="[Range 5]" displayFolder="" count="0" memberValueDatatype="130" unbalanced="0"/>
    <cacheHierarchy uniqueName="[Range 6].[Is Fraud]" caption="Is Fraud" attribute="1" defaultMemberUniqueName="[Range 6].[Is Fraud].[All]" allUniqueName="[Range 6].[Is Fraud].[All]" dimensionUniqueName="[Range 6]" displayFolder="" count="2" memberValueDatatype="130" unbalanced="0"/>
    <cacheHierarchy uniqueName="[Range 7].[Transaction Type]" caption="Transaction Type" attribute="1" defaultMemberUniqueName="[Range 7].[Transaction Type].[All]" allUniqueName="[Range 7].[Transaction Type].[All]" dimensionUniqueName="[Range 7]" displayFolder="" count="0" memberValueDatatype="130" unbalanced="0"/>
    <cacheHierarchy uniqueName="[Range 8].[Customer ID]" caption="Customer ID" attribute="1" defaultMemberUniqueName="[Range 8].[Customer ID].[All]" allUniqueName="[Range 8].[Customer ID].[All]" dimensionUniqueName="[Range 8]" displayFolder="" count="0" memberValueDatatype="20" unbalanced="0"/>
    <cacheHierarchy uniqueName="[Table2].[Transaction ID]" caption="Transaction ID" attribute="1" defaultMemberUniqueName="[Table2].[Transaction ID].[All]" allUniqueName="[Table2].[Transaction ID].[All]" dimensionUniqueName="[Table2]" displayFolder="" count="0" memberValueDatatype="130" unbalanced="0"/>
    <cacheHierarchy uniqueName="[Table2].[Customer ID]" caption="Customer ID" attribute="1" defaultMemberUniqueName="[Table2].[Customer ID].[All]" allUniqueName="[Table2].[Customer ID].[All]" dimensionUniqueName="[Table2]" displayFolder="" count="0" memberValueDatatype="20" unbalanced="0"/>
    <cacheHierarchy uniqueName="[Table2].[Customer Name]" caption="Customer Name" attribute="1" defaultMemberUniqueName="[Table2].[Customer Name].[All]" allUniqueName="[Table2].[Customer Name].[All]" dimensionUniqueName="[Table2]" displayFolder="" count="0" memberValueDatatype="130" unbalanced="0"/>
    <cacheHierarchy uniqueName="[Table2].[Account Number]" caption="Account Number" attribute="1" defaultMemberUniqueName="[Table2].[Account Number].[All]" allUniqueName="[Table2].[Account Number].[All]" dimensionUniqueName="[Table2]" displayFolder="" count="0" memberValueDatatype="5" unbalanced="0"/>
    <cacheHierarchy uniqueName="[Table2].[Region]" caption="Region" attribute="1" defaultMemberUniqueName="[Table2].[Region].[All]" allUniqueName="[Table2].[Region].[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2].[Branch Name]" caption="Branch Name" attribute="1" defaultMemberUniqueName="[Table2].[Branch Name].[All]" allUniqueName="[Table2].[Branch Name].[All]" dimensionUniqueName="[Table2]" displayFolder="" count="2" memberValueDatatype="130" unbalanced="0"/>
    <cacheHierarchy uniqueName="[Table2].[Account Type]" caption="Account Type" attribute="1" defaultMemberUniqueName="[Table2].[Account Type].[All]" allUniqueName="[Table2].[Account Type].[All]" dimensionUniqueName="[Table2]" displayFolder="" count="2" memberValueDatatype="130" unbalanced="0"/>
    <cacheHierarchy uniqueName="[Table2].[Transaction Type]" caption="Transaction Type" attribute="1" defaultMemberUniqueName="[Table2].[Transaction Type].[All]" allUniqueName="[Table2].[Transaction Type].[All]" dimensionUniqueName="[Table2]" displayFolder="" count="2" memberValueDatatype="130" unbalanced="0"/>
    <cacheHierarchy uniqueName="[Table2].[Transaction Amount]" caption="Transaction Amount" attribute="1" defaultMemberUniqueName="[Table2].[Transaction Amount].[All]" allUniqueName="[Table2].[Transaction Amount].[All]" dimensionUniqueName="[Table2]" displayFolder="" count="0" memberValueDatatype="5" unbalanced="0"/>
    <cacheHierarchy uniqueName="[Table2].[Payment Mode]" caption="Payment Mode" attribute="1" defaultMemberUniqueName="[Table2].[Payment Mode].[All]" allUniqueName="[Table2].[Payment Mode].[All]" dimensionUniqueName="[Table2]" displayFolder="" count="2" memberValueDatatype="130" unbalanced="0"/>
    <cacheHierarchy uniqueName="[Table2].[Transaction Date]" caption="Transaction Date" attribute="1" time="1" defaultMemberUniqueName="[Table2].[Transaction Date].[All]" allUniqueName="[Table2].[Transaction Date].[All]" dimensionUniqueName="[Table2]" displayFolder="" count="0" memberValueDatatype="7" unbalanced="0"/>
    <cacheHierarchy uniqueName="[Table2].[Transaction Status]" caption="Transaction Status" attribute="1" defaultMemberUniqueName="[Table2].[Transaction Status].[All]" allUniqueName="[Table2].[Transaction Status].[All]" dimensionUniqueName="[Table2]" displayFolder="" count="2" memberValueDatatype="130" unbalanced="0"/>
    <cacheHierarchy uniqueName="[Table2].[Balance After Txn]" caption="Balance After Txn" attribute="1" defaultMemberUniqueName="[Table2].[Balance After Txn].[All]" allUniqueName="[Table2].[Balance After Txn].[All]" dimensionUniqueName="[Table2]" displayFolder="" count="0" memberValueDatatype="5" unbalanced="0"/>
    <cacheHierarchy uniqueName="[Table2].[Is Fraud]" caption="Is Fraud" attribute="1" defaultMemberUniqueName="[Table2].[Is Fraud].[All]" allUniqueName="[Table2].[Is Fraud].[All]" dimensionUniqueName="[Table2]" displayFolder="" count="0" memberValueDatatype="130" unbalanced="0"/>
    <cacheHierarchy uniqueName="[Table2].[year_month]" caption="year_month" attribute="1" defaultMemberUniqueName="[Table2].[year_month].[All]" allUniqueName="[Table2].[year_month].[All]" dimensionUniqueName="[Table2]" displayFolder="" count="2" memberValueDatatype="130" unbalanced="0"/>
    <cacheHierarchy uniqueName="[Table2 Transaction ID].[Transaction ID]" caption="Transaction ID" attribute="1" defaultMemberUniqueName="[Table2 Transaction ID].[Transaction ID].[All]" allUniqueName="[Table2 Transaction ID].[Transaction ID].[All]" dimensionUniqueName="[Table2 Transaction ID]" displayFolder="" count="0" memberValueDatatype="130" unbalanced="0"/>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Table2 Transaction ID]" caption="__XL_Count Table2 Transaction ID" measure="1" displayFolder="" measureGroup="Table2 Transaction ID" count="0" hidden="1"/>
    <cacheHierarchy uniqueName="[Measures].[__XL_Count Range 4]" caption="__XL_Count Range 4" measure="1" displayFolder="" measureGroup="Range 4" count="0" hidden="1"/>
    <cacheHierarchy uniqueName="[Measures].[__XL_Count Range 5]" caption="__XL_Count Range 5" measure="1" displayFolder="" measureGroup="Range 5" count="0" hidden="1"/>
    <cacheHierarchy uniqueName="[Measures].[__XL_Count Range 6]" caption="__XL_Count Range 6" measure="1" displayFolder="" measureGroup="Range 6" count="0" hidden="1"/>
    <cacheHierarchy uniqueName="[Measures].[__XL_Count Range 7]" caption="__XL_Count Range 7" measure="1" displayFolder="" measureGroup="Range 7" count="0" hidden="1"/>
    <cacheHierarchy uniqueName="[Measures].[__XL_Count Range 8]" caption="__XL_Count Range 8" measure="1" displayFolder="" measureGroup="Range 8" count="0" hidden="1"/>
    <cacheHierarchy uniqueName="[Measures].[__No measures defined]" caption="__No measures defined" measure="1" displayFolder="" count="0" hidden="1"/>
    <cacheHierarchy uniqueName="[Measures].[Count of Transaction ID]" caption="Count of Transaction ID" measure="1" displayFolder="" measureGroup="Table2" count="0" hidden="1">
      <extLst>
        <ext xmlns:x15="http://schemas.microsoft.com/office/spreadsheetml/2010/11/main" uri="{B97F6D7D-B522-45F9-BDA1-12C45D357490}">
          <x15:cacheHierarchy aggregatedColumn="9"/>
        </ext>
      </extLst>
    </cacheHierarchy>
    <cacheHierarchy uniqueName="[Measures].[Sum of Customer ID]" caption="Sum of Customer ID" measure="1" displayFolder="" measureGroup="Table2" count="0" hidden="1">
      <extLst>
        <ext xmlns:x15="http://schemas.microsoft.com/office/spreadsheetml/2010/11/main" uri="{B97F6D7D-B522-45F9-BDA1-12C45D357490}">
          <x15:cacheHierarchy aggregatedColumn="10"/>
        </ext>
      </extLst>
    </cacheHierarchy>
    <cacheHierarchy uniqueName="[Measures].[Sum of Transaction Amount]" caption="Sum of Transaction Amount" measure="1" displayFolder="" measureGroup="Table2" count="0" hidden="1">
      <extLst>
        <ext xmlns:x15="http://schemas.microsoft.com/office/spreadsheetml/2010/11/main" uri="{B97F6D7D-B522-45F9-BDA1-12C45D357490}">
          <x15:cacheHierarchy aggregatedColumn="18"/>
        </ext>
      </extLst>
    </cacheHierarchy>
    <cacheHierarchy uniqueName="[Measures].[Count of Is Fraud]" caption="Count of Is Fraud" measure="1" displayFolder="" measureGroup="Table2" count="0" hidden="1">
      <extLst>
        <ext xmlns:x15="http://schemas.microsoft.com/office/spreadsheetml/2010/11/main" uri="{B97F6D7D-B522-45F9-BDA1-12C45D357490}">
          <x15:cacheHierarchy aggregatedColumn="23"/>
        </ext>
      </extLst>
    </cacheHierarchy>
    <cacheHierarchy uniqueName="[Measures].[Count of Transaction Type]" caption="Count of Transaction Type" measure="1" displayFolder="" measureGroup="Table2" count="0" hidden="1">
      <extLst>
        <ext xmlns:x15="http://schemas.microsoft.com/office/spreadsheetml/2010/11/main" uri="{B97F6D7D-B522-45F9-BDA1-12C45D357490}">
          <x15:cacheHierarchy aggregatedColumn="17"/>
        </ext>
      </extLst>
    </cacheHierarchy>
    <cacheHierarchy uniqueName="[Measures].[Count of Payment Mode]" caption="Count of Payment Mode" measure="1" displayFolder="" measureGroup="Table2"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8856505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AA4A58-B795-4803-B5B2-7B143E109365}"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2:C27"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2"/>
    </i>
    <i>
      <x v="1"/>
    </i>
    <i>
      <x v="3"/>
    </i>
    <i>
      <x/>
    </i>
    <i t="grand">
      <x/>
    </i>
  </rowItems>
  <colItems count="1">
    <i/>
  </colItems>
  <dataFields count="1">
    <dataField name="Sum of Transaction Amoun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3DD603-0A2B-4604-A107-7E430EDDF2BB}"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0:L36" firstHeaderRow="1" firstDataRow="1" firstDataCol="1"/>
  <pivotFields count="2">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6">
    <i>
      <x/>
    </i>
    <i>
      <x v="1"/>
    </i>
    <i>
      <x v="3"/>
    </i>
    <i>
      <x v="4"/>
    </i>
    <i>
      <x v="6"/>
    </i>
    <i>
      <x v="2"/>
    </i>
    <i>
      <x v="5"/>
    </i>
    <i>
      <x v="8"/>
    </i>
    <i>
      <x v="9"/>
    </i>
    <i>
      <x v="7"/>
    </i>
    <i>
      <x v="12"/>
    </i>
    <i>
      <x v="10"/>
    </i>
    <i>
      <x v="11"/>
    </i>
    <i>
      <x v="14"/>
    </i>
    <i>
      <x v="13"/>
    </i>
    <i>
      <x v="17"/>
    </i>
    <i>
      <x v="16"/>
    </i>
    <i>
      <x v="15"/>
    </i>
    <i>
      <x v="19"/>
    </i>
    <i>
      <x v="18"/>
    </i>
    <i>
      <x v="20"/>
    </i>
    <i>
      <x v="21"/>
    </i>
    <i>
      <x v="22"/>
    </i>
    <i>
      <x v="23"/>
    </i>
    <i>
      <x v="24"/>
    </i>
    <i t="grand">
      <x/>
    </i>
  </rowItems>
  <colItems count="1">
    <i/>
  </colItems>
  <dataFields count="1">
    <dataField name="Sum of Transaction Amoun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7CDB1F-39E5-479E-AE64-A7D53DF68085}"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8:I34" firstHeaderRow="1" firstDataRow="1" firstDataCol="1"/>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allDrilled="1" subtotalTop="0" showAll="0" dataSourceSort="1" defaultSubtotal="0" defaultAttributeDrillState="1"/>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Transaction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0F1D48-EC85-4D08-A0C1-01D90F97A20A}" name="PivotTable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E8:F14"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i>
    <i>
      <x v="4"/>
    </i>
    <i>
      <x v="3"/>
    </i>
    <i>
      <x v="1"/>
    </i>
    <i t="grand">
      <x/>
    </i>
  </rowItems>
  <colItems count="1">
    <i/>
  </colItems>
  <dataFields count="1">
    <dataField name="Sum of Transaction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5]"/>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AA20F9-4145-4418-987C-D51AE1B8E907}" name="PivotTable3" cacheId="1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7:C13"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ransaction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members count="2" level="1">
        <member name="[Table2].[Transaction Type].&amp;[Cheque]"/>
        <member name="[Table2].[Transaction Type].&amp;[Deposit]"/>
      </members>
    </pivotHierarchy>
    <pivotHierarchy dragToData="1"/>
    <pivotHierarchy multipleItemSelectionAllowed="1" dragToData="1">
      <members count="1" level="1">
        <member name="[Table2].[Payment Mode].&amp;[Credit Card]"/>
      </members>
    </pivotHierarchy>
    <pivotHierarchy dragToData="1"/>
    <pivotHierarchy multipleItemSelectionAllowed="1"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4]"/>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ADAA35-EF67-4415-BF04-3D87123D621E}" name="PivotTable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8:H15"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3">
    <i>
      <x/>
    </i>
    <i>
      <x v="1"/>
    </i>
    <i t="grand">
      <x/>
    </i>
  </colItems>
  <dataFields count="1">
    <dataField name="Count of Transaction ID" fld="2" subtotal="count" baseField="0" baseItem="0"/>
  </dataFields>
  <chartFormats count="2">
    <chartFormat chart="15" format="8" series="1">
      <pivotArea type="data" outline="0" fieldPosition="0">
        <references count="2">
          <reference field="4294967294" count="1" selected="0">
            <x v="0"/>
          </reference>
          <reference field="0" count="1" selected="0">
            <x v="0"/>
          </reference>
        </references>
      </pivotArea>
    </chartFormat>
    <chartFormat chart="15" format="9" series="1">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0AACF7-C975-4CDD-B5D9-AA92472EB643}"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11" firstHeaderRow="0" firstDataRow="0" firstDataCol="0"/>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Fields count="1">
    <field x="1"/>
  </colFields>
  <colItems count="3">
    <i>
      <x/>
    </i>
    <i>
      <x v="1"/>
    </i>
    <i t="grand">
      <x/>
    </i>
  </colItems>
  <dataFields count="1">
    <dataField name="Count of Transaction I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2CB4E7-3978-4204-8137-0D4D90DBB48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4:N41" firstHeaderRow="1" firstDataRow="2" firstDataCol="1"/>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
  </colFields>
  <colItems count="3">
    <i>
      <x/>
    </i>
    <i>
      <x v="1"/>
    </i>
    <i t="grand">
      <x/>
    </i>
  </colItems>
  <dataFields count="1">
    <dataField name="Count of Transaction I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652A52-0BB2-4594-ABD9-A37C9BA82897}" name="PivotTable8" cacheId="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7" firstHeaderRow="0" firstDataRow="0" firstDataCol="0"/>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0"/>
  </colFields>
  <colItems count="3">
    <i>
      <x/>
    </i>
    <i>
      <x v="1"/>
    </i>
    <i t="grand">
      <x/>
    </i>
  </colItems>
  <dataFields count="1">
    <dataField name="Count of Transaction ID" fld="2"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7CBC3F-60A4-4B24-977F-10799CB8F460}"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1:E37"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Transaction ID" fld="2" subtotal="count" baseField="0" baseItem="0"/>
  </dataFields>
  <chartFormats count="20">
    <chartFormat chart="4" format="22" series="1">
      <pivotArea type="data" outline="0" fieldPosition="0">
        <references count="2">
          <reference field="4294967294" count="1" selected="0">
            <x v="0"/>
          </reference>
          <reference field="1" count="1" selected="0">
            <x v="0"/>
          </reference>
        </references>
      </pivotArea>
    </chartFormat>
    <chartFormat chart="4" format="23">
      <pivotArea type="data" outline="0" fieldPosition="0">
        <references count="3">
          <reference field="4294967294" count="1" selected="0">
            <x v="0"/>
          </reference>
          <reference field="0" count="1" selected="0">
            <x v="0"/>
          </reference>
          <reference field="1" count="1" selected="0">
            <x v="0"/>
          </reference>
        </references>
      </pivotArea>
    </chartFormat>
    <chartFormat chart="4" format="24">
      <pivotArea type="data" outline="0" fieldPosition="0">
        <references count="3">
          <reference field="4294967294" count="1" selected="0">
            <x v="0"/>
          </reference>
          <reference field="0" count="1" selected="0">
            <x v="1"/>
          </reference>
          <reference field="1" count="1" selected="0">
            <x v="0"/>
          </reference>
        </references>
      </pivotArea>
    </chartFormat>
    <chartFormat chart="4" format="25">
      <pivotArea type="data" outline="0" fieldPosition="0">
        <references count="3">
          <reference field="4294967294" count="1" selected="0">
            <x v="0"/>
          </reference>
          <reference field="0" count="1" selected="0">
            <x v="2"/>
          </reference>
          <reference field="1" count="1" selected="0">
            <x v="0"/>
          </reference>
        </references>
      </pivotArea>
    </chartFormat>
    <chartFormat chart="4" format="26">
      <pivotArea type="data" outline="0" fieldPosition="0">
        <references count="3">
          <reference field="4294967294" count="1" selected="0">
            <x v="0"/>
          </reference>
          <reference field="0" count="1" selected="0">
            <x v="3"/>
          </reference>
          <reference field="1" count="1" selected="0">
            <x v="0"/>
          </reference>
        </references>
      </pivotArea>
    </chartFormat>
    <chartFormat chart="4" format="27" series="1">
      <pivotArea type="data" outline="0" fieldPosition="0">
        <references count="2">
          <reference field="4294967294" count="1" selected="0">
            <x v="0"/>
          </reference>
          <reference field="1" count="1" selected="0">
            <x v="1"/>
          </reference>
        </references>
      </pivotArea>
    </chartFormat>
    <chartFormat chart="4" format="28">
      <pivotArea type="data" outline="0" fieldPosition="0">
        <references count="3">
          <reference field="4294967294" count="1" selected="0">
            <x v="0"/>
          </reference>
          <reference field="0" count="1" selected="0">
            <x v="0"/>
          </reference>
          <reference field="1" count="1" selected="0">
            <x v="1"/>
          </reference>
        </references>
      </pivotArea>
    </chartFormat>
    <chartFormat chart="4" format="29">
      <pivotArea type="data" outline="0" fieldPosition="0">
        <references count="3">
          <reference field="4294967294" count="1" selected="0">
            <x v="0"/>
          </reference>
          <reference field="0" count="1" selected="0">
            <x v="1"/>
          </reference>
          <reference field="1" count="1" selected="0">
            <x v="1"/>
          </reference>
        </references>
      </pivotArea>
    </chartFormat>
    <chartFormat chart="4" format="30">
      <pivotArea type="data" outline="0" fieldPosition="0">
        <references count="3">
          <reference field="4294967294" count="1" selected="0">
            <x v="0"/>
          </reference>
          <reference field="0" count="1" selected="0">
            <x v="2"/>
          </reference>
          <reference field="1" count="1" selected="0">
            <x v="1"/>
          </reference>
        </references>
      </pivotArea>
    </chartFormat>
    <chartFormat chart="4" format="31">
      <pivotArea type="data" outline="0" fieldPosition="0">
        <references count="3">
          <reference field="4294967294" count="1" selected="0">
            <x v="0"/>
          </reference>
          <reference field="0" count="1" selected="0">
            <x v="3"/>
          </reference>
          <reference field="1" count="1" selected="0">
            <x v="1"/>
          </reference>
        </references>
      </pivotArea>
    </chartFormat>
    <chartFormat chart="5" format="32" series="1">
      <pivotArea type="data" outline="0" fieldPosition="0">
        <references count="2">
          <reference field="4294967294" count="1" selected="0">
            <x v="0"/>
          </reference>
          <reference field="1" count="1" selected="0">
            <x v="0"/>
          </reference>
        </references>
      </pivotArea>
    </chartFormat>
    <chartFormat chart="5" format="33">
      <pivotArea type="data" outline="0" fieldPosition="0">
        <references count="3">
          <reference field="4294967294" count="1" selected="0">
            <x v="0"/>
          </reference>
          <reference field="0" count="1" selected="0">
            <x v="0"/>
          </reference>
          <reference field="1" count="1" selected="0">
            <x v="0"/>
          </reference>
        </references>
      </pivotArea>
    </chartFormat>
    <chartFormat chart="5" format="34">
      <pivotArea type="data" outline="0" fieldPosition="0">
        <references count="3">
          <reference field="4294967294" count="1" selected="0">
            <x v="0"/>
          </reference>
          <reference field="0" count="1" selected="0">
            <x v="1"/>
          </reference>
          <reference field="1" count="1" selected="0">
            <x v="0"/>
          </reference>
        </references>
      </pivotArea>
    </chartFormat>
    <chartFormat chart="5" format="35">
      <pivotArea type="data" outline="0" fieldPosition="0">
        <references count="3">
          <reference field="4294967294" count="1" selected="0">
            <x v="0"/>
          </reference>
          <reference field="0" count="1" selected="0">
            <x v="2"/>
          </reference>
          <reference field="1" count="1" selected="0">
            <x v="0"/>
          </reference>
        </references>
      </pivotArea>
    </chartFormat>
    <chartFormat chart="5" format="36">
      <pivotArea type="data" outline="0" fieldPosition="0">
        <references count="3">
          <reference field="4294967294" count="1" selected="0">
            <x v="0"/>
          </reference>
          <reference field="0" count="1" selected="0">
            <x v="3"/>
          </reference>
          <reference field="1" count="1" selected="0">
            <x v="0"/>
          </reference>
        </references>
      </pivotArea>
    </chartFormat>
    <chartFormat chart="5" format="37" series="1">
      <pivotArea type="data" outline="0" fieldPosition="0">
        <references count="2">
          <reference field="4294967294" count="1" selected="0">
            <x v="0"/>
          </reference>
          <reference field="1" count="1" selected="0">
            <x v="1"/>
          </reference>
        </references>
      </pivotArea>
    </chartFormat>
    <chartFormat chart="5" format="38">
      <pivotArea type="data" outline="0" fieldPosition="0">
        <references count="3">
          <reference field="4294967294" count="1" selected="0">
            <x v="0"/>
          </reference>
          <reference field="0" count="1" selected="0">
            <x v="0"/>
          </reference>
          <reference field="1" count="1" selected="0">
            <x v="1"/>
          </reference>
        </references>
      </pivotArea>
    </chartFormat>
    <chartFormat chart="5" format="39">
      <pivotArea type="data" outline="0" fieldPosition="0">
        <references count="3">
          <reference field="4294967294" count="1" selected="0">
            <x v="0"/>
          </reference>
          <reference field="0" count="1" selected="0">
            <x v="1"/>
          </reference>
          <reference field="1" count="1" selected="0">
            <x v="1"/>
          </reference>
        </references>
      </pivotArea>
    </chartFormat>
    <chartFormat chart="5" format="40">
      <pivotArea type="data" outline="0" fieldPosition="0">
        <references count="3">
          <reference field="4294967294" count="1" selected="0">
            <x v="0"/>
          </reference>
          <reference field="0" count="1" selected="0">
            <x v="2"/>
          </reference>
          <reference field="1" count="1" selected="0">
            <x v="1"/>
          </reference>
        </references>
      </pivotArea>
    </chartFormat>
    <chartFormat chart="5" format="41">
      <pivotArea type="data" outline="0" fieldPosition="0">
        <references count="3">
          <reference field="4294967294" count="1" selected="0">
            <x v="0"/>
          </reference>
          <reference field="0" count="1" selected="0">
            <x v="3"/>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07B755-4BFD-4649-AC03-C3551FB9ADE0}" name="PivotTable1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13:S40" firstHeaderRow="1" firstDataRow="2" firstDataCol="1"/>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
  </colFields>
  <colItems count="3">
    <i>
      <x/>
    </i>
    <i>
      <x v="1"/>
    </i>
    <i t="grand">
      <x/>
    </i>
  </colItems>
  <dataFields count="1">
    <dataField name="Count of Transaction ID" fld="2" subtotal="count" baseField="0" baseItem="0"/>
  </dataFields>
  <chartFormats count="4">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0"/>
          </reference>
        </references>
      </pivotArea>
    </chartFormat>
    <chartFormat chart="10" format="9" series="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54C0E3-FE91-4025-B4FA-B5FBD5AC934F}" name="PivotTable10" cacheId="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J8" firstHeaderRow="0" firstDataRow="0" firstDataCol="0"/>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
  </colFields>
  <colItems count="3">
    <i>
      <x/>
    </i>
    <i>
      <x v="1"/>
    </i>
    <i t="grand">
      <x/>
    </i>
  </colItems>
  <dataFields count="1">
    <dataField name="Count of Transaction ID" fld="2" subtotal="count" baseField="0" baseItem="0"/>
  </dataFields>
  <chartFormats count="2">
    <chartFormat chart="14" format="11" series="1">
      <pivotArea type="data" outline="0" fieldPosition="0">
        <references count="1">
          <reference field="4294967294" count="1" selected="0">
            <x v="0"/>
          </reference>
        </references>
      </pivotArea>
    </chartFormat>
    <chartFormat chart="14" format="12" series="1">
      <pivotArea type="data" outline="0" fieldPosition="0">
        <references count="2">
          <reference field="4294967294" count="1" selected="0">
            <x v="0"/>
          </reference>
          <reference field="1"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0FDE98-E0CD-4E08-9665-CCC4553DD711}"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7:C518" firstHeaderRow="1" firstDataRow="1" firstDataCol="1"/>
  <pivotFields count="3">
    <pivotField axis="axisRow" allDrilled="1" subtotalTop="0" showAll="0" dataSourceSort="1" defaultSubtotal="0" defaultAttributeDrillState="1">
      <items count="5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s>
    </pivotField>
    <pivotField dataField="1" subtotalTop="0" showAll="0" defaultSubtotal="0"/>
    <pivotField allDrilled="1" subtotalTop="0" showAll="0" dataSourceSort="1" defaultSubtotal="0" defaultAttributeDrillState="1"/>
  </pivotFields>
  <rowFields count="1">
    <field x="0"/>
  </rowFields>
  <rowItems count="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t="grand">
      <x/>
    </i>
  </rowItems>
  <colItems count="1">
    <i/>
  </colItems>
  <dataFields count="1">
    <dataField name="Count of Transaction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8]"/>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11AA0AF-2973-4968-9CD8-4E347FDC0CC3}"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6:C1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Transaction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7]"/>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3</v>
    <v>8</v>
    <v>6</v>
    <v>7</v>
  </rv>
  <rv s="0">
    <v>3</v>
    <v>8</v>
    <v>27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30ABB4-3C02-4AFB-9A36-1DCD242E43B6}" sourceName="[Table2].[Region]">
  <pivotTables>
    <pivotTable tabId="6" name="PivotTable3"/>
  </pivotTables>
  <data>
    <olap pivotCacheId="885650545">
      <levels count="2">
        <level uniqueName="[Table2].[Region].[(All)]" sourceCaption="(All)" count="0"/>
        <level uniqueName="[Table2].[Region].[Region]" sourceCaption="Region" count="5">
          <ranges>
            <range startItem="0">
              <i n="[Table2].[Region].&amp;[Central]" c="Central"/>
              <i n="[Table2].[Region].&amp;[East]" c="East"/>
              <i n="[Table2].[Region].&amp;[North]" c="North"/>
              <i n="[Table2].[Region].&amp;[South]" c="South"/>
              <i n="[Table2].[Region].&amp;[West]" c="West"/>
            </range>
          </ranges>
        </level>
      </levels>
      <selections count="1">
        <selection n="[Table2].[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692776C5-DE83-4603-91ED-D51137A18D60}" sourceName="[Table2].[Branch Name]">
  <pivotTables>
    <pivotTable tabId="6" name="PivotTable6"/>
    <pivotTable tabId="6" name="PivotTable3"/>
    <pivotTable tabId="6" name="PivotTable4"/>
    <pivotTable tabId="6" name="PivotTable5"/>
    <pivotTable tabId="6" name="PivotTable7"/>
    <pivotTable tabId="8" name="PivotTable10"/>
    <pivotTable tabId="8" name="PivotTable14"/>
    <pivotTable tabId="8" name="PivotTable8"/>
    <pivotTable tabId="8" name="PivotTable9"/>
    <pivotTable tabId="10" name="PivotTable15"/>
    <pivotTable tabId="10" name="PivotTable16"/>
  </pivotTables>
  <data>
    <olap pivotCacheId="885650545">
      <levels count="2">
        <level uniqueName="[Table2].[Branch Name].[(All)]" sourceCaption="(All)" count="0"/>
        <level uniqueName="[Table2].[Branch Name].[Branch Name]" sourceCaption="Branch Name" count="25">
          <ranges>
            <range startItem="0">
              <i n="[Table2].[Branch Name].&amp;[Ahmedabad Branch]" c="Ahmedabad Branch"/>
              <i n="[Table2].[Branch Name].&amp;[Amritsar Branch]" c="Amritsar Branch"/>
              <i n="[Table2].[Branch Name].&amp;[Bangalore Branch]" c="Bangalore Branch"/>
              <i n="[Table2].[Branch Name].&amp;[Bhopal Branch]" c="Bhopal Branch"/>
              <i n="[Table2].[Branch Name].&amp;[Bhubaneswar Branch]" c="Bhubaneswar Branch"/>
              <i n="[Table2].[Branch Name].&amp;[Chandigarh Branch]" c="Chandigarh Branch"/>
              <i n="[Table2].[Branch Name].&amp;[Chennai Branch]" c="Chennai Branch"/>
              <i n="[Table2].[Branch Name].&amp;[Coimbatore Branch]" c="Coimbatore Branch"/>
              <i n="[Table2].[Branch Name].&amp;[Delhi Branch]" c="Delhi Branch"/>
              <i n="[Table2].[Branch Name].&amp;[Guwahati Branch]" c="Guwahati Branch"/>
              <i n="[Table2].[Branch Name].&amp;[Gwalior Branch]" c="Gwalior Branch"/>
              <i n="[Table2].[Branch Name].&amp;[Hyderabad Branch]" c="Hyderabad Branch"/>
              <i n="[Table2].[Branch Name].&amp;[Indore Branch]" c="Indore Branch"/>
              <i n="[Table2].[Branch Name].&amp;[Jabalpur Branch]" c="Jabalpur Branch"/>
              <i n="[Table2].[Branch Name].&amp;[Jaipur Branch]" c="Jaipur Branch"/>
              <i n="[Table2].[Branch Name].&amp;[Kochi Branch]" c="Kochi Branch"/>
              <i n="[Table2].[Branch Name].&amp;[Kolkata Branch]" c="Kolkata Branch"/>
              <i n="[Table2].[Branch Name].&amp;[Lucknow Branch]" c="Lucknow Branch"/>
              <i n="[Table2].[Branch Name].&amp;[Mumbai Branch]" c="Mumbai Branch"/>
              <i n="[Table2].[Branch Name].&amp;[Nagpur Branch]" c="Nagpur Branch"/>
              <i n="[Table2].[Branch Name].&amp;[Patna Branch]" c="Patna Branch"/>
              <i n="[Table2].[Branch Name].&amp;[Pune Branch]" c="Pune Branch"/>
              <i n="[Table2].[Branch Name].&amp;[Raipur Branch]" c="Raipur Branch"/>
              <i n="[Table2].[Branch Name].&amp;[Ranchi Branch]" c="Ranchi Branch"/>
              <i n="[Table2].[Branch Name].&amp;[Surat Branch]" c="Surat Branch"/>
            </range>
          </ranges>
        </level>
      </levels>
      <selections count="1">
        <selection n="[Table2].[Branc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85F6CD05-19D5-4EF9-B09D-0AC1A4E754CC}" sourceName="[Table2].[Transaction Type]">
  <pivotTables>
    <pivotTable tabId="6" name="PivotTable7"/>
  </pivotTables>
  <data>
    <olap pivotCacheId="885650545">
      <levels count="2">
        <level uniqueName="[Table2].[Transaction Type].[(All)]" sourceCaption="(All)" count="0"/>
        <level uniqueName="[Table2].[Transaction Type].[Transaction Type]" sourceCaption="Transaction Type" count="4">
          <ranges>
            <range startItem="0">
              <i n="[Table2].[Transaction Type].&amp;[Cheque]" c="Cheque"/>
              <i n="[Table2].[Transaction Type].&amp;[Deposit]" c="Deposit"/>
              <i n="[Table2].[Transaction Type].&amp;[Online Transfer]" c="Online Transfer"/>
              <i n="[Table2].[Transaction Type].&amp;[Withdrawal]" c="Withdrawal"/>
            </range>
          </ranges>
        </level>
      </levels>
      <selections count="1">
        <selection n="[Table2].[Transaction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59EA0C6C-911F-4095-88B0-46CC63395067}" sourceName="[Table2].[Account Type]">
  <pivotTables>
    <pivotTable tabId="10" name="PivotTable15"/>
  </pivotTables>
  <data>
    <olap pivotCacheId="885650545">
      <levels count="2">
        <level uniqueName="[Table2].[Account Type].[(All)]" sourceCaption="(All)" count="0"/>
        <level uniqueName="[Table2].[Account Type].[Account Type]" sourceCaption="Account Type" count="4">
          <ranges>
            <range startItem="0">
              <i n="[Table2].[Account Type].&amp;[Current]" c="Current"/>
              <i n="[Table2].[Account Type].&amp;[Fixed Deposit]" c="Fixed Deposit"/>
              <i n="[Table2].[Account Type].&amp;[Recurring Deposit]" c="Recurring Deposit"/>
              <i n="[Table2].[Account Type].&amp;[Savings]" c="Savings"/>
            </range>
          </ranges>
        </level>
      </levels>
      <selections count="1">
        <selection n="[Table2].[Account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Status" xr10:uid="{C474A1B9-F7C2-4508-BDE7-955197DC823F}" sourceName="[Table2].[Transaction Status]">
  <pivotTables>
    <pivotTable tabId="8" name="PivotTable9"/>
  </pivotTables>
  <data>
    <olap pivotCacheId="885650545">
      <levels count="2">
        <level uniqueName="[Table2].[Transaction Status].[(All)]" sourceCaption="(All)" count="0"/>
        <level uniqueName="[Table2].[Transaction Status].[Transaction Status]" sourceCaption="Transaction Status" count="4">
          <ranges>
            <range startItem="0">
              <i n="[Table2].[Transaction Status].&amp;[Completed]" c="Completed"/>
              <i n="[Table2].[Transaction Status].&amp;[Failed]" c="Failed"/>
              <i n="[Table2].[Transaction Status].&amp;[Pending]" c="Pending"/>
              <i n="[Table2].[Transaction Status].&amp;[Reversed]" c="Reversed"/>
            </range>
          </ranges>
        </level>
      </levels>
      <selections count="1">
        <selection n="[Table2].[Transaction 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437AB96-287A-4E19-9704-DB8FC549777E}" sourceName="[Table2].[Payment Mode]">
  <pivotTables>
    <pivotTable tabId="8" name="PivotTable9"/>
  </pivotTables>
  <data>
    <olap pivotCacheId="885650545">
      <levels count="2">
        <level uniqueName="[Table2].[Payment Mode].[(All)]" sourceCaption="(All)" count="0"/>
        <level uniqueName="[Table2].[Payment Mode].[Payment Mode]" sourceCaption="Payment Mode" count="5">
          <ranges>
            <range startItem="0">
              <i n="[Table2].[Payment Mode].&amp;[Cash]" c="Cash"/>
              <i n="[Table2].[Payment Mode].&amp;[Credit Card]" c="Credit Card"/>
              <i n="[Table2].[Payment Mode].&amp;[Debit Card]" c="Debit Card"/>
              <i n="[Table2].[Payment Mode].&amp;[Net Banking]" c="Net Banking"/>
              <i n="[Table2].[Payment Mode].&amp;[UPI]" c="UPI"/>
            </range>
          </ranges>
        </level>
      </levels>
      <selections count="1">
        <selection n="[Table2].[Payment Mod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3FD21F43-BDCF-4637-83C5-5F228D9E3DE9}" sourceName="[Table2].[year_month]">
  <pivotTables>
    <pivotTable tabId="8" name="PivotTable14"/>
  </pivotTables>
  <data>
    <olap pivotCacheId="885650545">
      <levels count="2">
        <level uniqueName="[Table2].[year_month].[(All)]" sourceCaption="(All)" count="0"/>
        <level uniqueName="[Table2].[year_month].[year_month]" sourceCaption="year_month" count="25">
          <ranges>
            <range startItem="0">
              <i n="[Table2].[year_month].&amp;[2023-07]" c="2023-07"/>
              <i n="[Table2].[year_month].&amp;[2023-08]" c="2023-08"/>
              <i n="[Table2].[year_month].&amp;[2023-09]" c="2023-09"/>
              <i n="[Table2].[year_month].&amp;[2023-10]" c="2023-10"/>
              <i n="[Table2].[year_month].&amp;[2023-11]" c="2023-11"/>
              <i n="[Table2].[year_month].&amp;[2023-12]" c="2023-12"/>
              <i n="[Table2].[year_month].&amp;[2024-01]" c="2024-01"/>
              <i n="[Table2].[year_month].&amp;[2024-02]" c="2024-02"/>
              <i n="[Table2].[year_month].&amp;[2024-03]" c="2024-03"/>
              <i n="[Table2].[year_month].&amp;[2024-04]" c="2024-04"/>
              <i n="[Table2].[year_month].&amp;[2024-05]" c="2024-05"/>
              <i n="[Table2].[year_month].&amp;[2024-06]" c="2024-06"/>
              <i n="[Table2].[year_month].&amp;[2024-07]" c="2024-07"/>
              <i n="[Table2].[year_month].&amp;[2024-08]" c="2024-08"/>
              <i n="[Table2].[year_month].&amp;[2024-09]" c="2024-09"/>
              <i n="[Table2].[year_month].&amp;[2024-10]" c="2024-10"/>
              <i n="[Table2].[year_month].&amp;[2024-11]" c="2024-11"/>
              <i n="[Table2].[year_month].&amp;[2024-12]" c="2024-12"/>
              <i n="[Table2].[year_month].&amp;[2025-01]" c="2025-01"/>
              <i n="[Table2].[year_month].&amp;[2025-02]" c="2025-02"/>
              <i n="[Table2].[year_month].&amp;[2025-03]" c="2025-03"/>
              <i n="[Table2].[year_month].&amp;[2025-04]" c="2025-04"/>
              <i n="[Table2].[year_month].&amp;[2025-05]" c="2025-05"/>
              <i n="[Table2].[year_month].&amp;[2025-06]" c="2025-06"/>
              <i n="[Table2].[year_month].&amp;[2025-07]" c="2025-07"/>
            </range>
          </ranges>
        </level>
      </levels>
      <selections count="1">
        <selection n="[Table2].[year_month].[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Fraud" xr10:uid="{12FA36B0-9ADE-4F76-AFD6-E9E52C02DAE4}" sourceName="[Range 6].[Is Fraud]">
  <pivotTables>
    <pivotTable tabId="8" name="PivotTable12"/>
  </pivotTables>
  <data>
    <olap pivotCacheId="885650545">
      <levels count="2">
        <level uniqueName="[Range 6].[Is Fraud].[(All)]" sourceCaption="(All)" count="0"/>
        <level uniqueName="[Range 6].[Is Fraud].[Is Fraud]" sourceCaption="Is Fraud" count="3">
          <ranges>
            <range startItem="0">
              <i n="[Range 6].[Is Fraud].&amp;" c="(blank)"/>
              <i n="[Range 6].[Is Fraud].&amp;[No]" c="No"/>
              <i n="[Range 6].[Is Fraud].&amp;[Yes]" c="Yes"/>
            </range>
          </ranges>
        </level>
      </levels>
      <selections count="1">
        <selection n="[Range 6].[Is Frau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C91095C-857E-4523-86AE-C917EE8CFF58}" cache="Slicer_Region" caption="Region" level="1" rowHeight="1097280"/>
  <slicer name="Branch Name" xr10:uid="{10418090-53C9-46F0-B632-6270B3164BD2}" cache="Slicer_Branch_Name" caption="Branch Name" startItem="12" level="1" rowHeight="822960"/>
  <slicer name="Transaction Type" xr10:uid="{C8333E93-4E6E-44C7-A2CA-5FC1D3B7935D}" cache="Slicer_Transaction_Type" caption="Transaction Type" level="1" rowHeight="1463040"/>
  <slicer name="Account Type" xr10:uid="{2446AF70-71F8-480F-80D5-2E3DDFF583AB}" cache="Slicer_Account_Type" caption="Account Type" level="1" rowHeight="1371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Status" xr10:uid="{A6E3290C-C1EE-4954-AA52-C85A808D8A33}" cache="Slicer_Transaction_Status" caption="Transaction Status" level="1" rowHeight="1188720"/>
  <slicer name="Payment Mode" xr10:uid="{CB2064B7-6797-49EA-8A49-4FF2E3473966}" cache="Slicer_Payment_Mode" caption="Payment Mode" level="1" rowHeight="1280160"/>
  <slicer name="year_month" xr10:uid="{927D1849-5E16-4D4B-8E40-7757D58FBC58}" cache="Slicer_year_month" caption="year_month" level="1" rowHeight="914400"/>
  <slicer name="Is Fraud" xr10:uid="{8E1386E2-7DF5-4A6F-A777-B73D9577C159}" cache="Slicer_Is_Fraud" caption="Is Fraud" level="1" rowHeight="17373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27C909-AFB8-4EDF-A8C3-45B4254671AA}" name="Table1" displayName="Table1" ref="A1:P501" totalsRowShown="0">
  <autoFilter ref="A1:P501" xr:uid="{2427C909-AFB8-4EDF-A8C3-45B4254671AA}"/>
  <tableColumns count="16">
    <tableColumn id="1" xr3:uid="{637D9860-1F86-4C54-8D84-28070982A327}" name="Transaction ID"/>
    <tableColumn id="2" xr3:uid="{1F57C4F3-E23B-4A08-9E71-3BF812551631}" name="Customer ID"/>
    <tableColumn id="3" xr3:uid="{331DA703-BA14-4D4E-B518-7CE042EE4FDF}" name="Customer Name"/>
    <tableColumn id="4" xr3:uid="{AF49803B-1DDE-4D36-9520-D39419EDD35B}" name="Account Number"/>
    <tableColumn id="5" xr3:uid="{F17C02CF-E5D8-418B-A271-8CF772B2DBC9}" name="Region"/>
    <tableColumn id="6" xr3:uid="{1585B598-C2F1-4A41-BAEE-BCF3EADCEF30}" name="City"/>
    <tableColumn id="7" xr3:uid="{0A661AD1-6057-41D9-8DA4-5FED77F151E0}" name="Branch Name"/>
    <tableColumn id="8" xr3:uid="{333011EB-34F0-4172-81AE-4387ABA075D6}" name="Account Type"/>
    <tableColumn id="9" xr3:uid="{CEC7EA0F-D854-4B1A-9C83-5BF17F7529A0}" name="Transaction Type"/>
    <tableColumn id="10" xr3:uid="{908D420F-28BB-44FF-AD60-ABC05BA81E32}" name="Transaction Amount" dataDxfId="2"/>
    <tableColumn id="11" xr3:uid="{8321C872-6611-416A-9767-6C1C769DC18D}" name="Payment Mode"/>
    <tableColumn id="12" xr3:uid="{B9874F9C-D14A-4DA0-8DEB-080C023CA691}" name="Transaction Date" dataDxfId="1"/>
    <tableColumn id="13" xr3:uid="{655883F3-A4F1-412E-A034-F8AA879594DB}" name="Transaction Status"/>
    <tableColumn id="14" xr3:uid="{AB3FFC57-500D-4A29-8E53-A0020C55DCF9}" name="Balance After Txn" dataDxfId="0"/>
    <tableColumn id="15" xr3:uid="{4061E846-514F-41DF-A5F6-C30F3E54559E}" name="Is Fraud"/>
    <tableColumn id="16" xr3:uid="{35AF0A81-D394-422D-A3B0-B5EE2C5F1FA8}" name="year_month">
      <calculatedColumnFormula>TEXT(L2,"yyyy-mm")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50658-6A15-4BD1-895E-88FDA74CD27E}">
  <dimension ref="A7:L36"/>
  <sheetViews>
    <sheetView zoomScale="88" workbookViewId="0">
      <selection activeCell="K10" sqref="K10"/>
    </sheetView>
  </sheetViews>
  <sheetFormatPr defaultRowHeight="14.4" x14ac:dyDescent="0.3"/>
  <cols>
    <col min="1" max="1" width="12.5546875" bestFit="1" customWidth="1"/>
    <col min="2" max="2" width="13.77734375" bestFit="1" customWidth="1"/>
    <col min="3" max="3" width="25.6640625" bestFit="1" customWidth="1"/>
    <col min="4" max="5" width="7.6640625" bestFit="1" customWidth="1"/>
    <col min="6" max="6" width="24.88671875" bestFit="1" customWidth="1"/>
    <col min="7" max="7" width="7.6640625" bestFit="1" customWidth="1"/>
    <col min="8" max="8" width="12.5546875" bestFit="1" customWidth="1"/>
    <col min="9" max="9" width="24.88671875" bestFit="1" customWidth="1"/>
    <col min="10" max="10" width="7.6640625" bestFit="1" customWidth="1"/>
    <col min="11" max="11" width="18.33203125" bestFit="1" customWidth="1"/>
    <col min="12" max="12" width="24.88671875" bestFit="1" customWidth="1"/>
    <col min="13" max="26" width="7.6640625" bestFit="1" customWidth="1"/>
    <col min="27" max="27" width="10.77734375" bestFit="1" customWidth="1"/>
  </cols>
  <sheetData>
    <row r="7" spans="1:12" x14ac:dyDescent="0.3">
      <c r="A7">
        <v>1.1000000000000001</v>
      </c>
      <c r="B7" s="2" t="s">
        <v>1090</v>
      </c>
      <c r="C7" t="s">
        <v>1119</v>
      </c>
    </row>
    <row r="8" spans="1:12" x14ac:dyDescent="0.3">
      <c r="B8" s="3" t="s">
        <v>18</v>
      </c>
      <c r="C8">
        <v>19774365.059999999</v>
      </c>
      <c r="D8">
        <v>1.2</v>
      </c>
      <c r="E8" s="2" t="s">
        <v>1090</v>
      </c>
      <c r="F8" t="s">
        <v>1119</v>
      </c>
      <c r="G8">
        <v>1.3</v>
      </c>
      <c r="H8" s="2" t="s">
        <v>1090</v>
      </c>
      <c r="I8" t="s">
        <v>1119</v>
      </c>
    </row>
    <row r="9" spans="1:12" x14ac:dyDescent="0.3">
      <c r="B9" s="3" t="s">
        <v>28</v>
      </c>
      <c r="C9">
        <v>16933362.09</v>
      </c>
      <c r="E9" s="3" t="s">
        <v>64</v>
      </c>
      <c r="F9">
        <v>20674590.48</v>
      </c>
      <c r="H9" s="3" t="s">
        <v>1093</v>
      </c>
      <c r="I9">
        <v>3137512.47</v>
      </c>
    </row>
    <row r="10" spans="1:12" x14ac:dyDescent="0.3">
      <c r="B10" s="3" t="s">
        <v>64</v>
      </c>
      <c r="C10">
        <v>20674590.48</v>
      </c>
      <c r="E10" s="3" t="s">
        <v>18</v>
      </c>
      <c r="F10">
        <v>19774365.059999999</v>
      </c>
      <c r="H10" s="3" t="s">
        <v>1094</v>
      </c>
      <c r="I10">
        <v>3403390.94</v>
      </c>
      <c r="J10">
        <v>1.4</v>
      </c>
      <c r="K10" s="2" t="s">
        <v>1090</v>
      </c>
      <c r="L10" t="s">
        <v>1119</v>
      </c>
    </row>
    <row r="11" spans="1:12" x14ac:dyDescent="0.3">
      <c r="B11" s="3" t="s">
        <v>91</v>
      </c>
      <c r="C11">
        <v>16959477.98</v>
      </c>
      <c r="E11" s="3" t="s">
        <v>35</v>
      </c>
      <c r="F11">
        <v>19591984.879999999</v>
      </c>
      <c r="H11" s="3" t="s">
        <v>1095</v>
      </c>
      <c r="I11">
        <v>2950859.77</v>
      </c>
      <c r="K11" s="3" t="s">
        <v>37</v>
      </c>
      <c r="L11">
        <v>13811868.27</v>
      </c>
    </row>
    <row r="12" spans="1:12" x14ac:dyDescent="0.3">
      <c r="B12" s="3" t="s">
        <v>35</v>
      </c>
      <c r="C12">
        <v>19591984.879999999</v>
      </c>
      <c r="E12" s="3" t="s">
        <v>91</v>
      </c>
      <c r="F12">
        <v>16959477.98</v>
      </c>
      <c r="H12" s="3" t="s">
        <v>1096</v>
      </c>
      <c r="I12">
        <v>2535234.34</v>
      </c>
      <c r="K12" s="3" t="s">
        <v>66</v>
      </c>
      <c r="L12">
        <v>9090104.2599999998</v>
      </c>
    </row>
    <row r="13" spans="1:12" x14ac:dyDescent="0.3">
      <c r="B13" s="3" t="s">
        <v>1091</v>
      </c>
      <c r="C13">
        <v>93933780.489999995</v>
      </c>
      <c r="E13" s="3" t="s">
        <v>28</v>
      </c>
      <c r="F13">
        <v>16933362.09</v>
      </c>
      <c r="H13" s="3" t="s">
        <v>1097</v>
      </c>
      <c r="I13">
        <v>5597162.9699999997</v>
      </c>
      <c r="K13" s="3" t="s">
        <v>47</v>
      </c>
      <c r="L13">
        <v>7379250.5599999996</v>
      </c>
    </row>
    <row r="14" spans="1:12" x14ac:dyDescent="0.3">
      <c r="E14" s="3" t="s">
        <v>1091</v>
      </c>
      <c r="F14">
        <v>93933780.489999995</v>
      </c>
      <c r="H14" s="3" t="s">
        <v>1098</v>
      </c>
      <c r="I14">
        <v>4275298.4800000004</v>
      </c>
      <c r="K14" s="3" t="s">
        <v>193</v>
      </c>
      <c r="L14">
        <v>7164908.1299999999</v>
      </c>
    </row>
    <row r="15" spans="1:12" x14ac:dyDescent="0.3">
      <c r="H15" s="3" t="s">
        <v>1099</v>
      </c>
      <c r="I15">
        <v>3041168.71</v>
      </c>
      <c r="K15" s="3" t="s">
        <v>110</v>
      </c>
      <c r="L15">
        <v>7017901.6799999997</v>
      </c>
    </row>
    <row r="16" spans="1:12" x14ac:dyDescent="0.3">
      <c r="H16" s="3" t="s">
        <v>1100</v>
      </c>
      <c r="I16">
        <v>3735204.03</v>
      </c>
      <c r="K16" s="3" t="s">
        <v>163</v>
      </c>
      <c r="L16">
        <v>6969553.3499999996</v>
      </c>
    </row>
    <row r="17" spans="1:12" x14ac:dyDescent="0.3">
      <c r="H17" s="3" t="s">
        <v>1101</v>
      </c>
      <c r="I17">
        <v>3559901.37</v>
      </c>
      <c r="K17" s="3" t="s">
        <v>147</v>
      </c>
      <c r="L17">
        <v>6406381.4800000004</v>
      </c>
    </row>
    <row r="18" spans="1:12" x14ac:dyDescent="0.3">
      <c r="H18" s="3" t="s">
        <v>1102</v>
      </c>
      <c r="I18">
        <v>3777985.44</v>
      </c>
      <c r="K18" s="3" t="s">
        <v>178</v>
      </c>
      <c r="L18">
        <v>4519710.03</v>
      </c>
    </row>
    <row r="19" spans="1:12" x14ac:dyDescent="0.3">
      <c r="H19" s="3" t="s">
        <v>1103</v>
      </c>
      <c r="I19">
        <v>4783038.3899999997</v>
      </c>
      <c r="K19" s="3" t="s">
        <v>30</v>
      </c>
      <c r="L19">
        <v>4110064.64</v>
      </c>
    </row>
    <row r="20" spans="1:12" x14ac:dyDescent="0.3">
      <c r="H20" s="3" t="s">
        <v>1104</v>
      </c>
      <c r="I20">
        <v>3985169.21</v>
      </c>
      <c r="K20" s="3" t="s">
        <v>93</v>
      </c>
      <c r="L20">
        <v>3824563.02</v>
      </c>
    </row>
    <row r="21" spans="1:12" x14ac:dyDescent="0.3">
      <c r="H21" s="3" t="s">
        <v>1105</v>
      </c>
      <c r="I21">
        <v>3869242.4</v>
      </c>
      <c r="K21" s="3" t="s">
        <v>20</v>
      </c>
      <c r="L21">
        <v>3738820.24</v>
      </c>
    </row>
    <row r="22" spans="1:12" x14ac:dyDescent="0.3">
      <c r="A22">
        <v>1.5</v>
      </c>
      <c r="B22" s="2" t="s">
        <v>1090</v>
      </c>
      <c r="C22" t="s">
        <v>1119</v>
      </c>
      <c r="H22" s="3" t="s">
        <v>1106</v>
      </c>
      <c r="I22">
        <v>4487928.28</v>
      </c>
      <c r="K22" s="3" t="s">
        <v>157</v>
      </c>
      <c r="L22">
        <v>3152515.58</v>
      </c>
    </row>
    <row r="23" spans="1:12" x14ac:dyDescent="0.3">
      <c r="B23" s="3" t="s">
        <v>53</v>
      </c>
      <c r="C23" s="7">
        <v>26390312.010000002</v>
      </c>
      <c r="H23" s="3" t="s">
        <v>1107</v>
      </c>
      <c r="I23">
        <v>3356769.27</v>
      </c>
      <c r="K23" s="3" t="s">
        <v>131</v>
      </c>
      <c r="L23">
        <v>2831808.68</v>
      </c>
    </row>
    <row r="24" spans="1:12" x14ac:dyDescent="0.3">
      <c r="B24" s="3" t="s">
        <v>48</v>
      </c>
      <c r="C24" s="7">
        <v>25605430.100000001</v>
      </c>
      <c r="H24" s="3" t="s">
        <v>1108</v>
      </c>
      <c r="I24">
        <v>6861898.5999999996</v>
      </c>
      <c r="K24" s="3" t="s">
        <v>167</v>
      </c>
      <c r="L24">
        <v>2463738.3199999998</v>
      </c>
    </row>
    <row r="25" spans="1:12" x14ac:dyDescent="0.3">
      <c r="B25" s="3" t="s">
        <v>38</v>
      </c>
      <c r="C25" s="7">
        <v>21080215.25</v>
      </c>
      <c r="H25" s="3" t="s">
        <v>1109</v>
      </c>
      <c r="I25">
        <v>4162181.42</v>
      </c>
      <c r="K25" s="3" t="s">
        <v>88</v>
      </c>
      <c r="L25">
        <v>1964329.21</v>
      </c>
    </row>
    <row r="26" spans="1:12" x14ac:dyDescent="0.3">
      <c r="B26" s="3" t="s">
        <v>22</v>
      </c>
      <c r="C26" s="7">
        <v>20857823.129999999</v>
      </c>
      <c r="H26" s="3" t="s">
        <v>1110</v>
      </c>
      <c r="I26">
        <v>3244997.73</v>
      </c>
      <c r="K26" s="3" t="s">
        <v>84</v>
      </c>
      <c r="L26">
        <v>1847977.33</v>
      </c>
    </row>
    <row r="27" spans="1:12" x14ac:dyDescent="0.3">
      <c r="B27" s="3" t="s">
        <v>1091</v>
      </c>
      <c r="C27" s="7">
        <v>93933780.489999995</v>
      </c>
      <c r="H27" s="3" t="s">
        <v>1111</v>
      </c>
      <c r="I27">
        <v>3771850.06</v>
      </c>
      <c r="K27" s="3" t="s">
        <v>151</v>
      </c>
      <c r="L27">
        <v>1722637.4</v>
      </c>
    </row>
    <row r="28" spans="1:12" x14ac:dyDescent="0.3">
      <c r="H28" s="3" t="s">
        <v>1112</v>
      </c>
      <c r="I28">
        <v>4593068.6100000003</v>
      </c>
      <c r="K28" s="3" t="s">
        <v>106</v>
      </c>
      <c r="L28">
        <v>1614280.62</v>
      </c>
    </row>
    <row r="29" spans="1:12" x14ac:dyDescent="0.3">
      <c r="H29" s="3" t="s">
        <v>1113</v>
      </c>
      <c r="I29">
        <v>3786531.11</v>
      </c>
      <c r="K29" s="3" t="s">
        <v>74</v>
      </c>
      <c r="L29">
        <v>1288924.78</v>
      </c>
    </row>
    <row r="30" spans="1:12" x14ac:dyDescent="0.3">
      <c r="H30" s="3" t="s">
        <v>1114</v>
      </c>
      <c r="I30">
        <v>4072523.3</v>
      </c>
      <c r="K30" s="3" t="s">
        <v>137</v>
      </c>
      <c r="L30">
        <v>850974.2</v>
      </c>
    </row>
    <row r="31" spans="1:12" x14ac:dyDescent="0.3">
      <c r="H31" s="3" t="s">
        <v>1115</v>
      </c>
      <c r="I31">
        <v>3360598.67</v>
      </c>
      <c r="K31" s="3" t="s">
        <v>80</v>
      </c>
      <c r="L31">
        <v>783359.94</v>
      </c>
    </row>
    <row r="32" spans="1:12" x14ac:dyDescent="0.3">
      <c r="H32" s="3" t="s">
        <v>1116</v>
      </c>
      <c r="I32">
        <v>2991026.67</v>
      </c>
      <c r="K32" s="3" t="s">
        <v>43</v>
      </c>
      <c r="L32">
        <v>670621.68000000005</v>
      </c>
    </row>
    <row r="33" spans="8:12" x14ac:dyDescent="0.3">
      <c r="H33" s="3" t="s">
        <v>1117</v>
      </c>
      <c r="I33">
        <v>593238.25</v>
      </c>
      <c r="K33" s="3" t="s">
        <v>57</v>
      </c>
      <c r="L33">
        <v>359987.95</v>
      </c>
    </row>
    <row r="34" spans="8:12" x14ac:dyDescent="0.3">
      <c r="H34" s="3" t="s">
        <v>1091</v>
      </c>
      <c r="I34">
        <v>93933780.489999995</v>
      </c>
      <c r="K34" s="3" t="s">
        <v>217</v>
      </c>
      <c r="L34">
        <v>214509.87</v>
      </c>
    </row>
    <row r="35" spans="8:12" x14ac:dyDescent="0.3">
      <c r="K35" s="3" t="s">
        <v>61</v>
      </c>
      <c r="L35">
        <v>134989.26999999999</v>
      </c>
    </row>
    <row r="36" spans="8:12" x14ac:dyDescent="0.3">
      <c r="K36" s="3" t="s">
        <v>1091</v>
      </c>
      <c r="L36">
        <v>93933780.489999995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BCF1-AD46-4E9B-A1DA-1FB2D7569DED}">
  <dimension ref="T59:AF59"/>
  <sheetViews>
    <sheetView showGridLines="0" showRowColHeaders="0" tabSelected="1" topLeftCell="B1" zoomScale="41" workbookViewId="0">
      <selection activeCell="AN57" sqref="AN57"/>
    </sheetView>
  </sheetViews>
  <sheetFormatPr defaultRowHeight="14.4" x14ac:dyDescent="0.3"/>
  <sheetData>
    <row r="59" spans="20:32" ht="28.8" x14ac:dyDescent="0.55000000000000004">
      <c r="T59" s="5"/>
      <c r="AF59"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992BE-BE8A-4E2F-974A-4CDD9899A32F}">
  <dimension ref="A1"/>
  <sheetViews>
    <sheetView showGridLines="0" showRowColHeaders="0" zoomScale="41" workbookViewId="0">
      <selection activeCell="AV52" sqref="AV5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8C4EA-FDF5-43E3-B778-868E054B15A9}">
  <dimension ref="A7:S41"/>
  <sheetViews>
    <sheetView topLeftCell="A5" zoomScale="60" workbookViewId="0">
      <selection activeCell="K48" sqref="K48"/>
    </sheetView>
  </sheetViews>
  <sheetFormatPr defaultRowHeight="14.4" x14ac:dyDescent="0.3"/>
  <cols>
    <col min="1" max="1" width="12.5546875" bestFit="1" customWidth="1"/>
    <col min="2" max="2" width="29.33203125" bestFit="1" customWidth="1"/>
    <col min="3" max="3" width="22.5546875" bestFit="1" customWidth="1"/>
    <col min="4" max="4" width="5.88671875" bestFit="1" customWidth="1"/>
    <col min="5" max="5" width="15.33203125" bestFit="1" customWidth="1"/>
    <col min="6" max="6" width="22.5546875" bestFit="1" customWidth="1"/>
    <col min="7" max="7" width="5.88671875" bestFit="1" customWidth="1"/>
    <col min="8" max="8" width="15.33203125" bestFit="1" customWidth="1"/>
    <col min="10" max="11" width="29.33203125" bestFit="1" customWidth="1"/>
    <col min="12" max="12" width="22.5546875" bestFit="1" customWidth="1"/>
    <col min="13" max="13" width="5.88671875" bestFit="1" customWidth="1"/>
    <col min="14" max="14" width="15.33203125" bestFit="1" customWidth="1"/>
    <col min="16" max="16" width="29.33203125" bestFit="1" customWidth="1"/>
    <col min="17" max="17" width="22.5546875" bestFit="1" customWidth="1"/>
    <col min="18" max="18" width="5.88671875" bestFit="1" customWidth="1"/>
    <col min="19" max="19" width="15.33203125" bestFit="1" customWidth="1"/>
  </cols>
  <sheetData>
    <row r="7" spans="2:19" x14ac:dyDescent="0.3">
      <c r="B7" s="7" t="e" vm="1">
        <v>#VALUE!</v>
      </c>
    </row>
    <row r="8" spans="2:19" x14ac:dyDescent="0.3">
      <c r="D8">
        <v>2.2000000000000002</v>
      </c>
      <c r="E8" s="2" t="s">
        <v>1118</v>
      </c>
      <c r="F8" s="2" t="s">
        <v>1092</v>
      </c>
      <c r="J8" s="7" t="e" vm="2">
        <v>#VALUE!</v>
      </c>
    </row>
    <row r="9" spans="2:19" x14ac:dyDescent="0.3">
      <c r="E9" s="2" t="s">
        <v>1090</v>
      </c>
      <c r="F9" t="s">
        <v>25</v>
      </c>
      <c r="G9" t="s">
        <v>179</v>
      </c>
      <c r="H9" t="s">
        <v>1091</v>
      </c>
    </row>
    <row r="10" spans="2:19" x14ac:dyDescent="0.3">
      <c r="E10" s="3" t="s">
        <v>98</v>
      </c>
      <c r="F10">
        <v>93</v>
      </c>
      <c r="G10">
        <v>5</v>
      </c>
      <c r="H10">
        <v>98</v>
      </c>
    </row>
    <row r="11" spans="2:19" x14ac:dyDescent="0.3">
      <c r="E11" s="3" t="s">
        <v>32</v>
      </c>
      <c r="F11">
        <v>98</v>
      </c>
      <c r="G11">
        <v>2</v>
      </c>
      <c r="H11">
        <v>100</v>
      </c>
    </row>
    <row r="12" spans="2:19" x14ac:dyDescent="0.3">
      <c r="E12" s="3" t="s">
        <v>49</v>
      </c>
      <c r="F12">
        <v>126</v>
      </c>
      <c r="G12">
        <v>2</v>
      </c>
      <c r="H12">
        <v>128</v>
      </c>
    </row>
    <row r="13" spans="2:19" x14ac:dyDescent="0.3">
      <c r="E13" s="3" t="s">
        <v>39</v>
      </c>
      <c r="F13">
        <v>78</v>
      </c>
      <c r="G13">
        <v>2</v>
      </c>
      <c r="H13">
        <v>80</v>
      </c>
      <c r="O13">
        <v>2.4</v>
      </c>
      <c r="P13" s="2" t="s">
        <v>1118</v>
      </c>
      <c r="Q13" s="2" t="s">
        <v>1092</v>
      </c>
    </row>
    <row r="14" spans="2:19" x14ac:dyDescent="0.3">
      <c r="E14" s="3" t="s">
        <v>23</v>
      </c>
      <c r="F14">
        <v>92</v>
      </c>
      <c r="G14">
        <v>2</v>
      </c>
      <c r="H14">
        <v>94</v>
      </c>
      <c r="K14" s="2" t="s">
        <v>1118</v>
      </c>
      <c r="L14" s="2" t="s">
        <v>1092</v>
      </c>
      <c r="P14" s="2" t="s">
        <v>1090</v>
      </c>
      <c r="Q14" t="s">
        <v>25</v>
      </c>
      <c r="R14" t="s">
        <v>179</v>
      </c>
      <c r="S14" t="s">
        <v>1091</v>
      </c>
    </row>
    <row r="15" spans="2:19" x14ac:dyDescent="0.3">
      <c r="E15" s="3" t="s">
        <v>1091</v>
      </c>
      <c r="F15">
        <v>487</v>
      </c>
      <c r="G15">
        <v>13</v>
      </c>
      <c r="H15">
        <v>500</v>
      </c>
      <c r="K15" s="2" t="s">
        <v>1090</v>
      </c>
      <c r="L15" t="s">
        <v>25</v>
      </c>
      <c r="M15" t="s">
        <v>179</v>
      </c>
      <c r="N15" t="s">
        <v>1091</v>
      </c>
      <c r="P15" s="3" t="s">
        <v>1093</v>
      </c>
      <c r="Q15">
        <v>14</v>
      </c>
      <c r="S15">
        <v>14</v>
      </c>
    </row>
    <row r="16" spans="2:19" x14ac:dyDescent="0.3">
      <c r="K16" s="3" t="s">
        <v>37</v>
      </c>
      <c r="L16">
        <v>26</v>
      </c>
      <c r="N16">
        <v>26</v>
      </c>
      <c r="P16" s="3" t="s">
        <v>1094</v>
      </c>
      <c r="Q16">
        <v>20</v>
      </c>
      <c r="S16">
        <v>20</v>
      </c>
    </row>
    <row r="17" spans="1:19" x14ac:dyDescent="0.3">
      <c r="K17" s="3" t="s">
        <v>66</v>
      </c>
      <c r="L17">
        <v>20</v>
      </c>
      <c r="N17">
        <v>20</v>
      </c>
      <c r="P17" s="3" t="s">
        <v>1095</v>
      </c>
      <c r="Q17">
        <v>17</v>
      </c>
      <c r="S17">
        <v>17</v>
      </c>
    </row>
    <row r="18" spans="1:19" x14ac:dyDescent="0.3">
      <c r="K18" s="3" t="s">
        <v>163</v>
      </c>
      <c r="L18">
        <v>15</v>
      </c>
      <c r="M18">
        <v>2</v>
      </c>
      <c r="N18">
        <v>17</v>
      </c>
      <c r="P18" s="3" t="s">
        <v>1096</v>
      </c>
      <c r="Q18">
        <v>15</v>
      </c>
      <c r="S18">
        <v>15</v>
      </c>
    </row>
    <row r="19" spans="1:19" x14ac:dyDescent="0.3">
      <c r="K19" s="3" t="s">
        <v>47</v>
      </c>
      <c r="L19">
        <v>20</v>
      </c>
      <c r="N19">
        <v>20</v>
      </c>
      <c r="P19" s="3" t="s">
        <v>1097</v>
      </c>
      <c r="Q19">
        <v>28</v>
      </c>
      <c r="S19">
        <v>28</v>
      </c>
    </row>
    <row r="20" spans="1:19" x14ac:dyDescent="0.3">
      <c r="K20" s="3" t="s">
        <v>193</v>
      </c>
      <c r="L20">
        <v>20</v>
      </c>
      <c r="M20">
        <v>2</v>
      </c>
      <c r="N20">
        <v>22</v>
      </c>
      <c r="P20" s="3" t="s">
        <v>1098</v>
      </c>
      <c r="Q20">
        <v>23</v>
      </c>
      <c r="S20">
        <v>23</v>
      </c>
    </row>
    <row r="21" spans="1:19" x14ac:dyDescent="0.3">
      <c r="K21" s="3" t="s">
        <v>147</v>
      </c>
      <c r="L21">
        <v>23</v>
      </c>
      <c r="N21">
        <v>23</v>
      </c>
      <c r="P21" s="3" t="s">
        <v>1099</v>
      </c>
      <c r="Q21">
        <v>19</v>
      </c>
      <c r="S21">
        <v>19</v>
      </c>
    </row>
    <row r="22" spans="1:19" x14ac:dyDescent="0.3">
      <c r="K22" s="3" t="s">
        <v>110</v>
      </c>
      <c r="L22">
        <v>27</v>
      </c>
      <c r="M22">
        <v>1</v>
      </c>
      <c r="N22">
        <v>28</v>
      </c>
      <c r="P22" s="3" t="s">
        <v>1100</v>
      </c>
      <c r="Q22">
        <v>20</v>
      </c>
      <c r="R22">
        <v>1</v>
      </c>
      <c r="S22">
        <v>21</v>
      </c>
    </row>
    <row r="23" spans="1:19" x14ac:dyDescent="0.3">
      <c r="K23" s="3" t="s">
        <v>93</v>
      </c>
      <c r="L23">
        <v>17</v>
      </c>
      <c r="N23">
        <v>17</v>
      </c>
      <c r="P23" s="3" t="s">
        <v>1101</v>
      </c>
      <c r="Q23">
        <v>18</v>
      </c>
      <c r="R23">
        <v>4</v>
      </c>
      <c r="S23">
        <v>22</v>
      </c>
    </row>
    <row r="24" spans="1:19" x14ac:dyDescent="0.3">
      <c r="K24" s="3" t="s">
        <v>178</v>
      </c>
      <c r="L24">
        <v>21</v>
      </c>
      <c r="M24">
        <v>1</v>
      </c>
      <c r="N24">
        <v>22</v>
      </c>
      <c r="P24" s="3" t="s">
        <v>1102</v>
      </c>
      <c r="Q24">
        <v>24</v>
      </c>
      <c r="S24">
        <v>24</v>
      </c>
    </row>
    <row r="25" spans="1:19" x14ac:dyDescent="0.3">
      <c r="K25" s="3" t="s">
        <v>30</v>
      </c>
      <c r="L25">
        <v>21</v>
      </c>
      <c r="M25">
        <v>1</v>
      </c>
      <c r="N25">
        <v>22</v>
      </c>
      <c r="P25" s="3" t="s">
        <v>1103</v>
      </c>
      <c r="Q25">
        <v>25</v>
      </c>
      <c r="R25">
        <v>1</v>
      </c>
      <c r="S25">
        <v>26</v>
      </c>
    </row>
    <row r="26" spans="1:19" x14ac:dyDescent="0.3">
      <c r="K26" s="3" t="s">
        <v>157</v>
      </c>
      <c r="L26">
        <v>18</v>
      </c>
      <c r="M26">
        <v>1</v>
      </c>
      <c r="N26">
        <v>19</v>
      </c>
      <c r="P26" s="3" t="s">
        <v>1104</v>
      </c>
      <c r="Q26">
        <v>17</v>
      </c>
      <c r="R26">
        <v>1</v>
      </c>
      <c r="S26">
        <v>18</v>
      </c>
    </row>
    <row r="27" spans="1:19" x14ac:dyDescent="0.3">
      <c r="K27" s="3" t="s">
        <v>131</v>
      </c>
      <c r="L27">
        <v>19</v>
      </c>
      <c r="N27">
        <v>19</v>
      </c>
      <c r="P27" s="3" t="s">
        <v>1105</v>
      </c>
      <c r="Q27">
        <v>16</v>
      </c>
      <c r="S27">
        <v>16</v>
      </c>
    </row>
    <row r="28" spans="1:19" x14ac:dyDescent="0.3">
      <c r="K28" s="3" t="s">
        <v>20</v>
      </c>
      <c r="L28">
        <v>28</v>
      </c>
      <c r="N28">
        <v>28</v>
      </c>
      <c r="P28" s="3" t="s">
        <v>1106</v>
      </c>
      <c r="Q28">
        <v>19</v>
      </c>
      <c r="S28">
        <v>19</v>
      </c>
    </row>
    <row r="29" spans="1:19" x14ac:dyDescent="0.3">
      <c r="K29" s="3" t="s">
        <v>88</v>
      </c>
      <c r="L29">
        <v>15</v>
      </c>
      <c r="M29">
        <v>1</v>
      </c>
      <c r="N29">
        <v>16</v>
      </c>
      <c r="P29" s="3" t="s">
        <v>1107</v>
      </c>
      <c r="Q29">
        <v>23</v>
      </c>
      <c r="S29">
        <v>23</v>
      </c>
    </row>
    <row r="30" spans="1:19" x14ac:dyDescent="0.3">
      <c r="K30" s="3" t="s">
        <v>167</v>
      </c>
      <c r="L30">
        <v>21</v>
      </c>
      <c r="M30">
        <v>1</v>
      </c>
      <c r="N30">
        <v>22</v>
      </c>
      <c r="P30" s="3" t="s">
        <v>1108</v>
      </c>
      <c r="Q30">
        <v>24</v>
      </c>
      <c r="R30">
        <v>2</v>
      </c>
      <c r="S30">
        <v>26</v>
      </c>
    </row>
    <row r="31" spans="1:19" x14ac:dyDescent="0.3">
      <c r="A31">
        <v>2.1</v>
      </c>
      <c r="B31" s="2" t="s">
        <v>1118</v>
      </c>
      <c r="C31" s="2" t="s">
        <v>1092</v>
      </c>
      <c r="K31" s="3" t="s">
        <v>106</v>
      </c>
      <c r="L31">
        <v>16</v>
      </c>
      <c r="N31">
        <v>16</v>
      </c>
      <c r="P31" s="3" t="s">
        <v>1109</v>
      </c>
      <c r="Q31">
        <v>26</v>
      </c>
      <c r="R31">
        <v>1</v>
      </c>
      <c r="S31">
        <v>27</v>
      </c>
    </row>
    <row r="32" spans="1:19" x14ac:dyDescent="0.3">
      <c r="B32" s="2" t="s">
        <v>1090</v>
      </c>
      <c r="C32" t="s">
        <v>25</v>
      </c>
      <c r="D32" t="s">
        <v>179</v>
      </c>
      <c r="E32" t="s">
        <v>1091</v>
      </c>
      <c r="K32" s="3" t="s">
        <v>151</v>
      </c>
      <c r="L32">
        <v>19</v>
      </c>
      <c r="N32">
        <v>19</v>
      </c>
      <c r="P32" s="3" t="s">
        <v>1110</v>
      </c>
      <c r="Q32">
        <v>16</v>
      </c>
      <c r="S32">
        <v>16</v>
      </c>
    </row>
    <row r="33" spans="2:19" x14ac:dyDescent="0.3">
      <c r="B33" s="3" t="s">
        <v>22</v>
      </c>
      <c r="C33">
        <v>106</v>
      </c>
      <c r="D33">
        <v>2</v>
      </c>
      <c r="E33">
        <v>108</v>
      </c>
      <c r="K33" s="3" t="s">
        <v>84</v>
      </c>
      <c r="L33">
        <v>21</v>
      </c>
      <c r="M33">
        <v>2</v>
      </c>
      <c r="N33">
        <v>23</v>
      </c>
      <c r="P33" s="3" t="s">
        <v>1111</v>
      </c>
      <c r="Q33">
        <v>26</v>
      </c>
      <c r="S33">
        <v>26</v>
      </c>
    </row>
    <row r="34" spans="2:19" x14ac:dyDescent="0.3">
      <c r="B34" s="3" t="s">
        <v>48</v>
      </c>
      <c r="C34">
        <v>139</v>
      </c>
      <c r="D34">
        <v>1</v>
      </c>
      <c r="E34">
        <v>140</v>
      </c>
      <c r="K34" s="3" t="s">
        <v>137</v>
      </c>
      <c r="L34">
        <v>12</v>
      </c>
      <c r="N34">
        <v>12</v>
      </c>
      <c r="P34" s="3" t="s">
        <v>1112</v>
      </c>
      <c r="Q34">
        <v>24</v>
      </c>
      <c r="S34">
        <v>24</v>
      </c>
    </row>
    <row r="35" spans="2:19" x14ac:dyDescent="0.3">
      <c r="B35" s="3" t="s">
        <v>53</v>
      </c>
      <c r="C35">
        <v>131</v>
      </c>
      <c r="D35">
        <v>5</v>
      </c>
      <c r="E35">
        <v>136</v>
      </c>
      <c r="K35" s="3" t="s">
        <v>74</v>
      </c>
      <c r="L35">
        <v>21</v>
      </c>
      <c r="M35">
        <v>1</v>
      </c>
      <c r="N35">
        <v>22</v>
      </c>
      <c r="P35" s="3" t="s">
        <v>1113</v>
      </c>
      <c r="Q35">
        <v>18</v>
      </c>
      <c r="S35">
        <v>18</v>
      </c>
    </row>
    <row r="36" spans="2:19" x14ac:dyDescent="0.3">
      <c r="B36" s="3" t="s">
        <v>38</v>
      </c>
      <c r="C36">
        <v>111</v>
      </c>
      <c r="D36">
        <v>5</v>
      </c>
      <c r="E36">
        <v>116</v>
      </c>
      <c r="K36" s="3" t="s">
        <v>80</v>
      </c>
      <c r="L36">
        <v>17</v>
      </c>
      <c r="N36">
        <v>17</v>
      </c>
      <c r="P36" s="3" t="s">
        <v>1114</v>
      </c>
      <c r="Q36">
        <v>21</v>
      </c>
      <c r="S36">
        <v>21</v>
      </c>
    </row>
    <row r="37" spans="2:19" x14ac:dyDescent="0.3">
      <c r="B37" s="3" t="s">
        <v>1091</v>
      </c>
      <c r="C37">
        <v>487</v>
      </c>
      <c r="D37">
        <v>13</v>
      </c>
      <c r="E37">
        <v>500</v>
      </c>
      <c r="K37" s="3" t="s">
        <v>43</v>
      </c>
      <c r="L37">
        <v>20</v>
      </c>
      <c r="N37">
        <v>20</v>
      </c>
      <c r="P37" s="3" t="s">
        <v>1115</v>
      </c>
      <c r="Q37">
        <v>13</v>
      </c>
      <c r="R37">
        <v>3</v>
      </c>
      <c r="S37">
        <v>16</v>
      </c>
    </row>
    <row r="38" spans="2:19" x14ac:dyDescent="0.3">
      <c r="K38" s="3" t="s">
        <v>57</v>
      </c>
      <c r="L38">
        <v>15</v>
      </c>
      <c r="N38">
        <v>15</v>
      </c>
      <c r="P38" s="3" t="s">
        <v>1116</v>
      </c>
      <c r="Q38">
        <v>17</v>
      </c>
      <c r="S38">
        <v>17</v>
      </c>
    </row>
    <row r="39" spans="2:19" x14ac:dyDescent="0.3">
      <c r="K39" s="3" t="s">
        <v>217</v>
      </c>
      <c r="L39">
        <v>14</v>
      </c>
      <c r="N39">
        <v>14</v>
      </c>
      <c r="P39" s="3" t="s">
        <v>1117</v>
      </c>
      <c r="Q39">
        <v>4</v>
      </c>
      <c r="S39">
        <v>4</v>
      </c>
    </row>
    <row r="40" spans="2:19" x14ac:dyDescent="0.3">
      <c r="K40" s="3" t="s">
        <v>61</v>
      </c>
      <c r="L40">
        <v>21</v>
      </c>
      <c r="N40">
        <v>21</v>
      </c>
      <c r="P40" s="3" t="s">
        <v>1091</v>
      </c>
      <c r="Q40">
        <v>487</v>
      </c>
      <c r="R40">
        <v>13</v>
      </c>
      <c r="S40">
        <v>500</v>
      </c>
    </row>
    <row r="41" spans="2:19" x14ac:dyDescent="0.3">
      <c r="K41" s="3" t="s">
        <v>1091</v>
      </c>
      <c r="L41">
        <v>487</v>
      </c>
      <c r="M41">
        <v>13</v>
      </c>
      <c r="N41">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D9306-CDE4-47A7-9E5B-7CCB6B3D3E26}">
  <dimension ref="B6:C518"/>
  <sheetViews>
    <sheetView workbookViewId="0">
      <selection activeCell="F23" sqref="F23"/>
    </sheetView>
  </sheetViews>
  <sheetFormatPr defaultRowHeight="14.4" x14ac:dyDescent="0.3"/>
  <cols>
    <col min="2" max="2" width="13.5546875" bestFit="1" customWidth="1"/>
    <col min="3" max="3" width="21" bestFit="1" customWidth="1"/>
  </cols>
  <sheetData>
    <row r="6" spans="2:3" x14ac:dyDescent="0.3">
      <c r="B6" s="2" t="s">
        <v>1090</v>
      </c>
      <c r="C6" t="s">
        <v>1118</v>
      </c>
    </row>
    <row r="7" spans="2:3" x14ac:dyDescent="0.3">
      <c r="B7" s="3" t="s">
        <v>22</v>
      </c>
      <c r="C7">
        <v>108</v>
      </c>
    </row>
    <row r="8" spans="2:3" x14ac:dyDescent="0.3">
      <c r="B8" s="3" t="s">
        <v>48</v>
      </c>
      <c r="C8">
        <v>140</v>
      </c>
    </row>
    <row r="9" spans="2:3" x14ac:dyDescent="0.3">
      <c r="B9" s="3" t="s">
        <v>53</v>
      </c>
      <c r="C9">
        <v>136</v>
      </c>
    </row>
    <row r="10" spans="2:3" x14ac:dyDescent="0.3">
      <c r="B10" s="3" t="s">
        <v>38</v>
      </c>
      <c r="C10">
        <v>116</v>
      </c>
    </row>
    <row r="11" spans="2:3" x14ac:dyDescent="0.3">
      <c r="B11" s="3" t="s">
        <v>1091</v>
      </c>
      <c r="C11">
        <v>500</v>
      </c>
    </row>
    <row r="17" spans="2:3" x14ac:dyDescent="0.3">
      <c r="B17" s="2" t="s">
        <v>1090</v>
      </c>
      <c r="C17" t="s">
        <v>1118</v>
      </c>
    </row>
    <row r="18" spans="2:3" x14ac:dyDescent="0.3">
      <c r="B18" s="3">
        <v>100803</v>
      </c>
      <c r="C18">
        <v>1</v>
      </c>
    </row>
    <row r="19" spans="2:3" x14ac:dyDescent="0.3">
      <c r="B19" s="3">
        <v>102739</v>
      </c>
      <c r="C19">
        <v>1</v>
      </c>
    </row>
    <row r="20" spans="2:3" x14ac:dyDescent="0.3">
      <c r="B20" s="3">
        <v>103977</v>
      </c>
      <c r="C20">
        <v>1</v>
      </c>
    </row>
    <row r="21" spans="2:3" x14ac:dyDescent="0.3">
      <c r="B21" s="3">
        <v>105013</v>
      </c>
      <c r="C21">
        <v>1</v>
      </c>
    </row>
    <row r="22" spans="2:3" x14ac:dyDescent="0.3">
      <c r="B22" s="3">
        <v>107172</v>
      </c>
      <c r="C22">
        <v>1</v>
      </c>
    </row>
    <row r="23" spans="2:3" x14ac:dyDescent="0.3">
      <c r="B23" s="3">
        <v>111146</v>
      </c>
      <c r="C23">
        <v>1</v>
      </c>
    </row>
    <row r="24" spans="2:3" x14ac:dyDescent="0.3">
      <c r="B24" s="3">
        <v>112063</v>
      </c>
      <c r="C24">
        <v>1</v>
      </c>
    </row>
    <row r="25" spans="2:3" x14ac:dyDescent="0.3">
      <c r="B25" s="3">
        <v>113883</v>
      </c>
      <c r="C25">
        <v>1</v>
      </c>
    </row>
    <row r="26" spans="2:3" x14ac:dyDescent="0.3">
      <c r="B26" s="3">
        <v>114174</v>
      </c>
      <c r="C26">
        <v>1</v>
      </c>
    </row>
    <row r="27" spans="2:3" x14ac:dyDescent="0.3">
      <c r="B27" s="3">
        <v>116476</v>
      </c>
      <c r="C27">
        <v>1</v>
      </c>
    </row>
    <row r="28" spans="2:3" x14ac:dyDescent="0.3">
      <c r="B28" s="3">
        <v>116982</v>
      </c>
      <c r="C28">
        <v>1</v>
      </c>
    </row>
    <row r="29" spans="2:3" x14ac:dyDescent="0.3">
      <c r="B29" s="3">
        <v>117469</v>
      </c>
      <c r="C29">
        <v>1</v>
      </c>
    </row>
    <row r="30" spans="2:3" x14ac:dyDescent="0.3">
      <c r="B30" s="3">
        <v>117914</v>
      </c>
      <c r="C30">
        <v>1</v>
      </c>
    </row>
    <row r="31" spans="2:3" x14ac:dyDescent="0.3">
      <c r="B31" s="3">
        <v>118796</v>
      </c>
      <c r="C31">
        <v>1</v>
      </c>
    </row>
    <row r="32" spans="2:3" x14ac:dyDescent="0.3">
      <c r="B32" s="3">
        <v>123451</v>
      </c>
      <c r="C32">
        <v>1</v>
      </c>
    </row>
    <row r="33" spans="2:3" x14ac:dyDescent="0.3">
      <c r="B33" s="3">
        <v>124171</v>
      </c>
      <c r="C33">
        <v>1</v>
      </c>
    </row>
    <row r="34" spans="2:3" x14ac:dyDescent="0.3">
      <c r="B34" s="3">
        <v>128077</v>
      </c>
      <c r="C34">
        <v>1</v>
      </c>
    </row>
    <row r="35" spans="2:3" x14ac:dyDescent="0.3">
      <c r="B35" s="3">
        <v>128757</v>
      </c>
      <c r="C35">
        <v>1</v>
      </c>
    </row>
    <row r="36" spans="2:3" x14ac:dyDescent="0.3">
      <c r="B36" s="3">
        <v>129665</v>
      </c>
      <c r="C36">
        <v>1</v>
      </c>
    </row>
    <row r="37" spans="2:3" x14ac:dyDescent="0.3">
      <c r="B37" s="3">
        <v>130029</v>
      </c>
      <c r="C37">
        <v>1</v>
      </c>
    </row>
    <row r="38" spans="2:3" x14ac:dyDescent="0.3">
      <c r="B38" s="3">
        <v>130377</v>
      </c>
      <c r="C38">
        <v>1</v>
      </c>
    </row>
    <row r="39" spans="2:3" x14ac:dyDescent="0.3">
      <c r="B39" s="3">
        <v>132455</v>
      </c>
      <c r="C39">
        <v>1</v>
      </c>
    </row>
    <row r="40" spans="2:3" x14ac:dyDescent="0.3">
      <c r="B40" s="3">
        <v>134765</v>
      </c>
      <c r="C40">
        <v>1</v>
      </c>
    </row>
    <row r="41" spans="2:3" x14ac:dyDescent="0.3">
      <c r="B41" s="3">
        <v>139106</v>
      </c>
      <c r="C41">
        <v>1</v>
      </c>
    </row>
    <row r="42" spans="2:3" x14ac:dyDescent="0.3">
      <c r="B42" s="3">
        <v>143218</v>
      </c>
      <c r="C42">
        <v>1</v>
      </c>
    </row>
    <row r="43" spans="2:3" x14ac:dyDescent="0.3">
      <c r="B43" s="3">
        <v>146344</v>
      </c>
      <c r="C43">
        <v>1</v>
      </c>
    </row>
    <row r="44" spans="2:3" x14ac:dyDescent="0.3">
      <c r="B44" s="3">
        <v>147203</v>
      </c>
      <c r="C44">
        <v>1</v>
      </c>
    </row>
    <row r="45" spans="2:3" x14ac:dyDescent="0.3">
      <c r="B45" s="3">
        <v>147276</v>
      </c>
      <c r="C45">
        <v>1</v>
      </c>
    </row>
    <row r="46" spans="2:3" x14ac:dyDescent="0.3">
      <c r="B46" s="3">
        <v>149140</v>
      </c>
      <c r="C46">
        <v>1</v>
      </c>
    </row>
    <row r="47" spans="2:3" x14ac:dyDescent="0.3">
      <c r="B47" s="3">
        <v>150512</v>
      </c>
      <c r="C47">
        <v>1</v>
      </c>
    </row>
    <row r="48" spans="2:3" x14ac:dyDescent="0.3">
      <c r="B48" s="3">
        <v>153582</v>
      </c>
      <c r="C48">
        <v>1</v>
      </c>
    </row>
    <row r="49" spans="2:3" x14ac:dyDescent="0.3">
      <c r="B49" s="3">
        <v>154017</v>
      </c>
      <c r="C49">
        <v>1</v>
      </c>
    </row>
    <row r="50" spans="2:3" x14ac:dyDescent="0.3">
      <c r="B50" s="3">
        <v>155745</v>
      </c>
      <c r="C50">
        <v>1</v>
      </c>
    </row>
    <row r="51" spans="2:3" x14ac:dyDescent="0.3">
      <c r="B51" s="3">
        <v>155800</v>
      </c>
      <c r="C51">
        <v>1</v>
      </c>
    </row>
    <row r="52" spans="2:3" x14ac:dyDescent="0.3">
      <c r="B52" s="3">
        <v>155828</v>
      </c>
      <c r="C52">
        <v>1</v>
      </c>
    </row>
    <row r="53" spans="2:3" x14ac:dyDescent="0.3">
      <c r="B53" s="3">
        <v>156081</v>
      </c>
      <c r="C53">
        <v>1</v>
      </c>
    </row>
    <row r="54" spans="2:3" x14ac:dyDescent="0.3">
      <c r="B54" s="3">
        <v>156651</v>
      </c>
      <c r="C54">
        <v>1</v>
      </c>
    </row>
    <row r="55" spans="2:3" x14ac:dyDescent="0.3">
      <c r="B55" s="3">
        <v>159266</v>
      </c>
      <c r="C55">
        <v>1</v>
      </c>
    </row>
    <row r="56" spans="2:3" x14ac:dyDescent="0.3">
      <c r="B56" s="3">
        <v>161024</v>
      </c>
      <c r="C56">
        <v>1</v>
      </c>
    </row>
    <row r="57" spans="2:3" x14ac:dyDescent="0.3">
      <c r="B57" s="3">
        <v>163530</v>
      </c>
      <c r="C57">
        <v>1</v>
      </c>
    </row>
    <row r="58" spans="2:3" x14ac:dyDescent="0.3">
      <c r="B58" s="3">
        <v>163591</v>
      </c>
      <c r="C58">
        <v>1</v>
      </c>
    </row>
    <row r="59" spans="2:3" x14ac:dyDescent="0.3">
      <c r="B59" s="3">
        <v>167371</v>
      </c>
      <c r="C59">
        <v>1</v>
      </c>
    </row>
    <row r="60" spans="2:3" x14ac:dyDescent="0.3">
      <c r="B60" s="3">
        <v>167811</v>
      </c>
      <c r="C60">
        <v>1</v>
      </c>
    </row>
    <row r="61" spans="2:3" x14ac:dyDescent="0.3">
      <c r="B61" s="3">
        <v>171459</v>
      </c>
      <c r="C61">
        <v>1</v>
      </c>
    </row>
    <row r="62" spans="2:3" x14ac:dyDescent="0.3">
      <c r="B62" s="3">
        <v>171990</v>
      </c>
      <c r="C62">
        <v>1</v>
      </c>
    </row>
    <row r="63" spans="2:3" x14ac:dyDescent="0.3">
      <c r="B63" s="3">
        <v>172968</v>
      </c>
      <c r="C63">
        <v>1</v>
      </c>
    </row>
    <row r="64" spans="2:3" x14ac:dyDescent="0.3">
      <c r="B64" s="3">
        <v>172992</v>
      </c>
      <c r="C64">
        <v>1</v>
      </c>
    </row>
    <row r="65" spans="2:3" x14ac:dyDescent="0.3">
      <c r="B65" s="3">
        <v>178161</v>
      </c>
      <c r="C65">
        <v>1</v>
      </c>
    </row>
    <row r="66" spans="2:3" x14ac:dyDescent="0.3">
      <c r="B66" s="3">
        <v>179518</v>
      </c>
      <c r="C66">
        <v>1</v>
      </c>
    </row>
    <row r="67" spans="2:3" x14ac:dyDescent="0.3">
      <c r="B67" s="3">
        <v>179714</v>
      </c>
      <c r="C67">
        <v>1</v>
      </c>
    </row>
    <row r="68" spans="2:3" x14ac:dyDescent="0.3">
      <c r="B68" s="3">
        <v>181715</v>
      </c>
      <c r="C68">
        <v>1</v>
      </c>
    </row>
    <row r="69" spans="2:3" x14ac:dyDescent="0.3">
      <c r="B69" s="3">
        <v>181978</v>
      </c>
      <c r="C69">
        <v>1</v>
      </c>
    </row>
    <row r="70" spans="2:3" x14ac:dyDescent="0.3">
      <c r="B70" s="3">
        <v>182090</v>
      </c>
      <c r="C70">
        <v>1</v>
      </c>
    </row>
    <row r="71" spans="2:3" x14ac:dyDescent="0.3">
      <c r="B71" s="3">
        <v>182726</v>
      </c>
      <c r="C71">
        <v>1</v>
      </c>
    </row>
    <row r="72" spans="2:3" x14ac:dyDescent="0.3">
      <c r="B72" s="3">
        <v>185724</v>
      </c>
      <c r="C72">
        <v>1</v>
      </c>
    </row>
    <row r="73" spans="2:3" x14ac:dyDescent="0.3">
      <c r="B73" s="3">
        <v>186325</v>
      </c>
      <c r="C73">
        <v>1</v>
      </c>
    </row>
    <row r="74" spans="2:3" x14ac:dyDescent="0.3">
      <c r="B74" s="3">
        <v>187594</v>
      </c>
      <c r="C74">
        <v>1</v>
      </c>
    </row>
    <row r="75" spans="2:3" x14ac:dyDescent="0.3">
      <c r="B75" s="3">
        <v>194074</v>
      </c>
      <c r="C75">
        <v>1</v>
      </c>
    </row>
    <row r="76" spans="2:3" x14ac:dyDescent="0.3">
      <c r="B76" s="3">
        <v>194555</v>
      </c>
      <c r="C76">
        <v>1</v>
      </c>
    </row>
    <row r="77" spans="2:3" x14ac:dyDescent="0.3">
      <c r="B77" s="3">
        <v>196451</v>
      </c>
      <c r="C77">
        <v>1</v>
      </c>
    </row>
    <row r="78" spans="2:3" x14ac:dyDescent="0.3">
      <c r="B78" s="3">
        <v>196463</v>
      </c>
      <c r="C78">
        <v>1</v>
      </c>
    </row>
    <row r="79" spans="2:3" x14ac:dyDescent="0.3">
      <c r="B79" s="3">
        <v>209976</v>
      </c>
      <c r="C79">
        <v>1</v>
      </c>
    </row>
    <row r="80" spans="2:3" x14ac:dyDescent="0.3">
      <c r="B80" s="3">
        <v>212429</v>
      </c>
      <c r="C80">
        <v>1</v>
      </c>
    </row>
    <row r="81" spans="2:3" x14ac:dyDescent="0.3">
      <c r="B81" s="3">
        <v>217181</v>
      </c>
      <c r="C81">
        <v>1</v>
      </c>
    </row>
    <row r="82" spans="2:3" x14ac:dyDescent="0.3">
      <c r="B82" s="3">
        <v>219887</v>
      </c>
      <c r="C82">
        <v>1</v>
      </c>
    </row>
    <row r="83" spans="2:3" x14ac:dyDescent="0.3">
      <c r="B83" s="3">
        <v>222331</v>
      </c>
      <c r="C83">
        <v>1</v>
      </c>
    </row>
    <row r="84" spans="2:3" x14ac:dyDescent="0.3">
      <c r="B84" s="3">
        <v>223350</v>
      </c>
      <c r="C84">
        <v>1</v>
      </c>
    </row>
    <row r="85" spans="2:3" x14ac:dyDescent="0.3">
      <c r="B85" s="3">
        <v>223517</v>
      </c>
      <c r="C85">
        <v>1</v>
      </c>
    </row>
    <row r="86" spans="2:3" x14ac:dyDescent="0.3">
      <c r="B86" s="3">
        <v>223924</v>
      </c>
      <c r="C86">
        <v>1</v>
      </c>
    </row>
    <row r="87" spans="2:3" x14ac:dyDescent="0.3">
      <c r="B87" s="3">
        <v>223991</v>
      </c>
      <c r="C87">
        <v>1</v>
      </c>
    </row>
    <row r="88" spans="2:3" x14ac:dyDescent="0.3">
      <c r="B88" s="3">
        <v>224498</v>
      </c>
      <c r="C88">
        <v>1</v>
      </c>
    </row>
    <row r="89" spans="2:3" x14ac:dyDescent="0.3">
      <c r="B89" s="3">
        <v>224857</v>
      </c>
      <c r="C89">
        <v>1</v>
      </c>
    </row>
    <row r="90" spans="2:3" x14ac:dyDescent="0.3">
      <c r="B90" s="3">
        <v>227576</v>
      </c>
      <c r="C90">
        <v>1</v>
      </c>
    </row>
    <row r="91" spans="2:3" x14ac:dyDescent="0.3">
      <c r="B91" s="3">
        <v>232569</v>
      </c>
      <c r="C91">
        <v>1</v>
      </c>
    </row>
    <row r="92" spans="2:3" x14ac:dyDescent="0.3">
      <c r="B92" s="3">
        <v>240183</v>
      </c>
      <c r="C92">
        <v>1</v>
      </c>
    </row>
    <row r="93" spans="2:3" x14ac:dyDescent="0.3">
      <c r="B93" s="3">
        <v>240903</v>
      </c>
      <c r="C93">
        <v>1</v>
      </c>
    </row>
    <row r="94" spans="2:3" x14ac:dyDescent="0.3">
      <c r="B94" s="3">
        <v>245396</v>
      </c>
      <c r="C94">
        <v>1</v>
      </c>
    </row>
    <row r="95" spans="2:3" x14ac:dyDescent="0.3">
      <c r="B95" s="3">
        <v>246445</v>
      </c>
      <c r="C95">
        <v>1</v>
      </c>
    </row>
    <row r="96" spans="2:3" x14ac:dyDescent="0.3">
      <c r="B96" s="3">
        <v>247151</v>
      </c>
      <c r="C96">
        <v>1</v>
      </c>
    </row>
    <row r="97" spans="2:3" x14ac:dyDescent="0.3">
      <c r="B97" s="3">
        <v>247721</v>
      </c>
      <c r="C97">
        <v>1</v>
      </c>
    </row>
    <row r="98" spans="2:3" x14ac:dyDescent="0.3">
      <c r="B98" s="3">
        <v>256689</v>
      </c>
      <c r="C98">
        <v>1</v>
      </c>
    </row>
    <row r="99" spans="2:3" x14ac:dyDescent="0.3">
      <c r="B99" s="3">
        <v>256851</v>
      </c>
      <c r="C99">
        <v>1</v>
      </c>
    </row>
    <row r="100" spans="2:3" x14ac:dyDescent="0.3">
      <c r="B100" s="3">
        <v>258410</v>
      </c>
      <c r="C100">
        <v>1</v>
      </c>
    </row>
    <row r="101" spans="2:3" x14ac:dyDescent="0.3">
      <c r="B101" s="3">
        <v>264651</v>
      </c>
      <c r="C101">
        <v>1</v>
      </c>
    </row>
    <row r="102" spans="2:3" x14ac:dyDescent="0.3">
      <c r="B102" s="3">
        <v>265807</v>
      </c>
      <c r="C102">
        <v>1</v>
      </c>
    </row>
    <row r="103" spans="2:3" x14ac:dyDescent="0.3">
      <c r="B103" s="3">
        <v>268498</v>
      </c>
      <c r="C103">
        <v>1</v>
      </c>
    </row>
    <row r="104" spans="2:3" x14ac:dyDescent="0.3">
      <c r="B104" s="3">
        <v>270470</v>
      </c>
      <c r="C104">
        <v>1</v>
      </c>
    </row>
    <row r="105" spans="2:3" x14ac:dyDescent="0.3">
      <c r="B105" s="3">
        <v>273869</v>
      </c>
      <c r="C105">
        <v>1</v>
      </c>
    </row>
    <row r="106" spans="2:3" x14ac:dyDescent="0.3">
      <c r="B106" s="3">
        <v>275035</v>
      </c>
      <c r="C106">
        <v>1</v>
      </c>
    </row>
    <row r="107" spans="2:3" x14ac:dyDescent="0.3">
      <c r="B107" s="3">
        <v>275383</v>
      </c>
      <c r="C107">
        <v>1</v>
      </c>
    </row>
    <row r="108" spans="2:3" x14ac:dyDescent="0.3">
      <c r="B108" s="3">
        <v>282725</v>
      </c>
      <c r="C108">
        <v>1</v>
      </c>
    </row>
    <row r="109" spans="2:3" x14ac:dyDescent="0.3">
      <c r="B109" s="3">
        <v>286469</v>
      </c>
      <c r="C109">
        <v>1</v>
      </c>
    </row>
    <row r="110" spans="2:3" x14ac:dyDescent="0.3">
      <c r="B110" s="3">
        <v>287130</v>
      </c>
      <c r="C110">
        <v>1</v>
      </c>
    </row>
    <row r="111" spans="2:3" x14ac:dyDescent="0.3">
      <c r="B111" s="3">
        <v>288231</v>
      </c>
      <c r="C111">
        <v>1</v>
      </c>
    </row>
    <row r="112" spans="2:3" x14ac:dyDescent="0.3">
      <c r="B112" s="3">
        <v>294793</v>
      </c>
      <c r="C112">
        <v>1</v>
      </c>
    </row>
    <row r="113" spans="2:3" x14ac:dyDescent="0.3">
      <c r="B113" s="3">
        <v>295399</v>
      </c>
      <c r="C113">
        <v>1</v>
      </c>
    </row>
    <row r="114" spans="2:3" x14ac:dyDescent="0.3">
      <c r="B114" s="3">
        <v>298244</v>
      </c>
      <c r="C114">
        <v>1</v>
      </c>
    </row>
    <row r="115" spans="2:3" x14ac:dyDescent="0.3">
      <c r="B115" s="3">
        <v>300670</v>
      </c>
      <c r="C115">
        <v>1</v>
      </c>
    </row>
    <row r="116" spans="2:3" x14ac:dyDescent="0.3">
      <c r="B116" s="3">
        <v>303217</v>
      </c>
      <c r="C116">
        <v>1</v>
      </c>
    </row>
    <row r="117" spans="2:3" x14ac:dyDescent="0.3">
      <c r="B117" s="3">
        <v>303453</v>
      </c>
      <c r="C117">
        <v>1</v>
      </c>
    </row>
    <row r="118" spans="2:3" x14ac:dyDescent="0.3">
      <c r="B118" s="3">
        <v>308373</v>
      </c>
      <c r="C118">
        <v>1</v>
      </c>
    </row>
    <row r="119" spans="2:3" x14ac:dyDescent="0.3">
      <c r="B119" s="3">
        <v>310437</v>
      </c>
      <c r="C119">
        <v>1</v>
      </c>
    </row>
    <row r="120" spans="2:3" x14ac:dyDescent="0.3">
      <c r="B120" s="3">
        <v>311363</v>
      </c>
      <c r="C120">
        <v>1</v>
      </c>
    </row>
    <row r="121" spans="2:3" x14ac:dyDescent="0.3">
      <c r="B121" s="3">
        <v>313682</v>
      </c>
      <c r="C121">
        <v>1</v>
      </c>
    </row>
    <row r="122" spans="2:3" x14ac:dyDescent="0.3">
      <c r="B122" s="3">
        <v>314894</v>
      </c>
      <c r="C122">
        <v>1</v>
      </c>
    </row>
    <row r="123" spans="2:3" x14ac:dyDescent="0.3">
      <c r="B123" s="3">
        <v>316483</v>
      </c>
      <c r="C123">
        <v>1</v>
      </c>
    </row>
    <row r="124" spans="2:3" x14ac:dyDescent="0.3">
      <c r="B124" s="3">
        <v>316547</v>
      </c>
      <c r="C124">
        <v>1</v>
      </c>
    </row>
    <row r="125" spans="2:3" x14ac:dyDescent="0.3">
      <c r="B125" s="3">
        <v>317781</v>
      </c>
      <c r="C125">
        <v>1</v>
      </c>
    </row>
    <row r="126" spans="2:3" x14ac:dyDescent="0.3">
      <c r="B126" s="3">
        <v>322365</v>
      </c>
      <c r="C126">
        <v>1</v>
      </c>
    </row>
    <row r="127" spans="2:3" x14ac:dyDescent="0.3">
      <c r="B127" s="3">
        <v>325170</v>
      </c>
      <c r="C127">
        <v>1</v>
      </c>
    </row>
    <row r="128" spans="2:3" x14ac:dyDescent="0.3">
      <c r="B128" s="3">
        <v>330179</v>
      </c>
      <c r="C128">
        <v>1</v>
      </c>
    </row>
    <row r="129" spans="2:3" x14ac:dyDescent="0.3">
      <c r="B129" s="3">
        <v>330649</v>
      </c>
      <c r="C129">
        <v>1</v>
      </c>
    </row>
    <row r="130" spans="2:3" x14ac:dyDescent="0.3">
      <c r="B130" s="3">
        <v>332907</v>
      </c>
      <c r="C130">
        <v>1</v>
      </c>
    </row>
    <row r="131" spans="2:3" x14ac:dyDescent="0.3">
      <c r="B131" s="3">
        <v>334036</v>
      </c>
      <c r="C131">
        <v>1</v>
      </c>
    </row>
    <row r="132" spans="2:3" x14ac:dyDescent="0.3">
      <c r="B132" s="3">
        <v>334468</v>
      </c>
      <c r="C132">
        <v>1</v>
      </c>
    </row>
    <row r="133" spans="2:3" x14ac:dyDescent="0.3">
      <c r="B133" s="3">
        <v>335618</v>
      </c>
      <c r="C133">
        <v>1</v>
      </c>
    </row>
    <row r="134" spans="2:3" x14ac:dyDescent="0.3">
      <c r="B134" s="3">
        <v>339747</v>
      </c>
      <c r="C134">
        <v>1</v>
      </c>
    </row>
    <row r="135" spans="2:3" x14ac:dyDescent="0.3">
      <c r="B135" s="3">
        <v>343315</v>
      </c>
      <c r="C135">
        <v>1</v>
      </c>
    </row>
    <row r="136" spans="2:3" x14ac:dyDescent="0.3">
      <c r="B136" s="3">
        <v>344715</v>
      </c>
      <c r="C136">
        <v>1</v>
      </c>
    </row>
    <row r="137" spans="2:3" x14ac:dyDescent="0.3">
      <c r="B137" s="3">
        <v>350891</v>
      </c>
      <c r="C137">
        <v>1</v>
      </c>
    </row>
    <row r="138" spans="2:3" x14ac:dyDescent="0.3">
      <c r="B138" s="3">
        <v>355753</v>
      </c>
      <c r="C138">
        <v>1</v>
      </c>
    </row>
    <row r="139" spans="2:3" x14ac:dyDescent="0.3">
      <c r="B139" s="3">
        <v>356658</v>
      </c>
      <c r="C139">
        <v>1</v>
      </c>
    </row>
    <row r="140" spans="2:3" x14ac:dyDescent="0.3">
      <c r="B140" s="3">
        <v>358049</v>
      </c>
      <c r="C140">
        <v>1</v>
      </c>
    </row>
    <row r="141" spans="2:3" x14ac:dyDescent="0.3">
      <c r="B141" s="3">
        <v>361462</v>
      </c>
      <c r="C141">
        <v>1</v>
      </c>
    </row>
    <row r="142" spans="2:3" x14ac:dyDescent="0.3">
      <c r="B142" s="3">
        <v>362079</v>
      </c>
      <c r="C142">
        <v>1</v>
      </c>
    </row>
    <row r="143" spans="2:3" x14ac:dyDescent="0.3">
      <c r="B143" s="3">
        <v>362469</v>
      </c>
      <c r="C143">
        <v>1</v>
      </c>
    </row>
    <row r="144" spans="2:3" x14ac:dyDescent="0.3">
      <c r="B144" s="3">
        <v>363910</v>
      </c>
      <c r="C144">
        <v>1</v>
      </c>
    </row>
    <row r="145" spans="2:3" x14ac:dyDescent="0.3">
      <c r="B145" s="3">
        <v>364377</v>
      </c>
      <c r="C145">
        <v>1</v>
      </c>
    </row>
    <row r="146" spans="2:3" x14ac:dyDescent="0.3">
      <c r="B146" s="3">
        <v>365649</v>
      </c>
      <c r="C146">
        <v>1</v>
      </c>
    </row>
    <row r="147" spans="2:3" x14ac:dyDescent="0.3">
      <c r="B147" s="3">
        <v>366999</v>
      </c>
      <c r="C147">
        <v>1</v>
      </c>
    </row>
    <row r="148" spans="2:3" x14ac:dyDescent="0.3">
      <c r="B148" s="3">
        <v>367162</v>
      </c>
      <c r="C148">
        <v>1</v>
      </c>
    </row>
    <row r="149" spans="2:3" x14ac:dyDescent="0.3">
      <c r="B149" s="3">
        <v>372542</v>
      </c>
      <c r="C149">
        <v>1</v>
      </c>
    </row>
    <row r="150" spans="2:3" x14ac:dyDescent="0.3">
      <c r="B150" s="3">
        <v>372576</v>
      </c>
      <c r="C150">
        <v>1</v>
      </c>
    </row>
    <row r="151" spans="2:3" x14ac:dyDescent="0.3">
      <c r="B151" s="3">
        <v>373993</v>
      </c>
      <c r="C151">
        <v>1</v>
      </c>
    </row>
    <row r="152" spans="2:3" x14ac:dyDescent="0.3">
      <c r="B152" s="3">
        <v>374263</v>
      </c>
      <c r="C152">
        <v>1</v>
      </c>
    </row>
    <row r="153" spans="2:3" x14ac:dyDescent="0.3">
      <c r="B153" s="3">
        <v>378722</v>
      </c>
      <c r="C153">
        <v>1</v>
      </c>
    </row>
    <row r="154" spans="2:3" x14ac:dyDescent="0.3">
      <c r="B154" s="3">
        <v>381958</v>
      </c>
      <c r="C154">
        <v>1</v>
      </c>
    </row>
    <row r="155" spans="2:3" x14ac:dyDescent="0.3">
      <c r="B155" s="3">
        <v>382042</v>
      </c>
      <c r="C155">
        <v>1</v>
      </c>
    </row>
    <row r="156" spans="2:3" x14ac:dyDescent="0.3">
      <c r="B156" s="3">
        <v>384060</v>
      </c>
      <c r="C156">
        <v>1</v>
      </c>
    </row>
    <row r="157" spans="2:3" x14ac:dyDescent="0.3">
      <c r="B157" s="3">
        <v>387939</v>
      </c>
      <c r="C157">
        <v>1</v>
      </c>
    </row>
    <row r="158" spans="2:3" x14ac:dyDescent="0.3">
      <c r="B158" s="3">
        <v>390792</v>
      </c>
      <c r="C158">
        <v>1</v>
      </c>
    </row>
    <row r="159" spans="2:3" x14ac:dyDescent="0.3">
      <c r="B159" s="3">
        <v>390841</v>
      </c>
      <c r="C159">
        <v>1</v>
      </c>
    </row>
    <row r="160" spans="2:3" x14ac:dyDescent="0.3">
      <c r="B160" s="3">
        <v>392320</v>
      </c>
      <c r="C160">
        <v>1</v>
      </c>
    </row>
    <row r="161" spans="2:3" x14ac:dyDescent="0.3">
      <c r="B161" s="3">
        <v>392598</v>
      </c>
      <c r="C161">
        <v>1</v>
      </c>
    </row>
    <row r="162" spans="2:3" x14ac:dyDescent="0.3">
      <c r="B162" s="3">
        <v>396948</v>
      </c>
      <c r="C162">
        <v>1</v>
      </c>
    </row>
    <row r="163" spans="2:3" x14ac:dyDescent="0.3">
      <c r="B163" s="3">
        <v>404602</v>
      </c>
      <c r="C163">
        <v>1</v>
      </c>
    </row>
    <row r="164" spans="2:3" x14ac:dyDescent="0.3">
      <c r="B164" s="3">
        <v>405161</v>
      </c>
      <c r="C164">
        <v>1</v>
      </c>
    </row>
    <row r="165" spans="2:3" x14ac:dyDescent="0.3">
      <c r="B165" s="3">
        <v>405648</v>
      </c>
      <c r="C165">
        <v>1</v>
      </c>
    </row>
    <row r="166" spans="2:3" x14ac:dyDescent="0.3">
      <c r="B166" s="3">
        <v>405881</v>
      </c>
      <c r="C166">
        <v>1</v>
      </c>
    </row>
    <row r="167" spans="2:3" x14ac:dyDescent="0.3">
      <c r="B167" s="3">
        <v>407754</v>
      </c>
      <c r="C167">
        <v>1</v>
      </c>
    </row>
    <row r="168" spans="2:3" x14ac:dyDescent="0.3">
      <c r="B168" s="3">
        <v>408340</v>
      </c>
      <c r="C168">
        <v>1</v>
      </c>
    </row>
    <row r="169" spans="2:3" x14ac:dyDescent="0.3">
      <c r="B169" s="3">
        <v>408467</v>
      </c>
      <c r="C169">
        <v>1</v>
      </c>
    </row>
    <row r="170" spans="2:3" x14ac:dyDescent="0.3">
      <c r="B170" s="3">
        <v>409256</v>
      </c>
      <c r="C170">
        <v>1</v>
      </c>
    </row>
    <row r="171" spans="2:3" x14ac:dyDescent="0.3">
      <c r="B171" s="3">
        <v>409468</v>
      </c>
      <c r="C171">
        <v>1</v>
      </c>
    </row>
    <row r="172" spans="2:3" x14ac:dyDescent="0.3">
      <c r="B172" s="3">
        <v>411009</v>
      </c>
      <c r="C172">
        <v>1</v>
      </c>
    </row>
    <row r="173" spans="2:3" x14ac:dyDescent="0.3">
      <c r="B173" s="3">
        <v>415091</v>
      </c>
      <c r="C173">
        <v>1</v>
      </c>
    </row>
    <row r="174" spans="2:3" x14ac:dyDescent="0.3">
      <c r="B174" s="3">
        <v>417871</v>
      </c>
      <c r="C174">
        <v>1</v>
      </c>
    </row>
    <row r="175" spans="2:3" x14ac:dyDescent="0.3">
      <c r="B175" s="3">
        <v>421539</v>
      </c>
      <c r="C175">
        <v>1</v>
      </c>
    </row>
    <row r="176" spans="2:3" x14ac:dyDescent="0.3">
      <c r="B176" s="3">
        <v>423000</v>
      </c>
      <c r="C176">
        <v>1</v>
      </c>
    </row>
    <row r="177" spans="2:3" x14ac:dyDescent="0.3">
      <c r="B177" s="3">
        <v>426604</v>
      </c>
      <c r="C177">
        <v>1</v>
      </c>
    </row>
    <row r="178" spans="2:3" x14ac:dyDescent="0.3">
      <c r="B178" s="3">
        <v>427315</v>
      </c>
      <c r="C178">
        <v>1</v>
      </c>
    </row>
    <row r="179" spans="2:3" x14ac:dyDescent="0.3">
      <c r="B179" s="3">
        <v>427894</v>
      </c>
      <c r="C179">
        <v>1</v>
      </c>
    </row>
    <row r="180" spans="2:3" x14ac:dyDescent="0.3">
      <c r="B180" s="3">
        <v>429704</v>
      </c>
      <c r="C180">
        <v>1</v>
      </c>
    </row>
    <row r="181" spans="2:3" x14ac:dyDescent="0.3">
      <c r="B181" s="3">
        <v>430975</v>
      </c>
      <c r="C181">
        <v>1</v>
      </c>
    </row>
    <row r="182" spans="2:3" x14ac:dyDescent="0.3">
      <c r="B182" s="3">
        <v>432558</v>
      </c>
      <c r="C182">
        <v>1</v>
      </c>
    </row>
    <row r="183" spans="2:3" x14ac:dyDescent="0.3">
      <c r="B183" s="3">
        <v>433063</v>
      </c>
      <c r="C183">
        <v>1</v>
      </c>
    </row>
    <row r="184" spans="2:3" x14ac:dyDescent="0.3">
      <c r="B184" s="3">
        <v>433250</v>
      </c>
      <c r="C184">
        <v>1</v>
      </c>
    </row>
    <row r="185" spans="2:3" x14ac:dyDescent="0.3">
      <c r="B185" s="3">
        <v>433578</v>
      </c>
      <c r="C185">
        <v>1</v>
      </c>
    </row>
    <row r="186" spans="2:3" x14ac:dyDescent="0.3">
      <c r="B186" s="3">
        <v>433879</v>
      </c>
      <c r="C186">
        <v>1</v>
      </c>
    </row>
    <row r="187" spans="2:3" x14ac:dyDescent="0.3">
      <c r="B187" s="3">
        <v>434987</v>
      </c>
      <c r="C187">
        <v>1</v>
      </c>
    </row>
    <row r="188" spans="2:3" x14ac:dyDescent="0.3">
      <c r="B188" s="3">
        <v>436075</v>
      </c>
      <c r="C188">
        <v>1</v>
      </c>
    </row>
    <row r="189" spans="2:3" x14ac:dyDescent="0.3">
      <c r="B189" s="3">
        <v>438809</v>
      </c>
      <c r="C189">
        <v>1</v>
      </c>
    </row>
    <row r="190" spans="2:3" x14ac:dyDescent="0.3">
      <c r="B190" s="3">
        <v>439411</v>
      </c>
      <c r="C190">
        <v>1</v>
      </c>
    </row>
    <row r="191" spans="2:3" x14ac:dyDescent="0.3">
      <c r="B191" s="3">
        <v>441139</v>
      </c>
      <c r="C191">
        <v>1</v>
      </c>
    </row>
    <row r="192" spans="2:3" x14ac:dyDescent="0.3">
      <c r="B192" s="3">
        <v>441216</v>
      </c>
      <c r="C192">
        <v>1</v>
      </c>
    </row>
    <row r="193" spans="2:3" x14ac:dyDescent="0.3">
      <c r="B193" s="3">
        <v>445390</v>
      </c>
      <c r="C193">
        <v>1</v>
      </c>
    </row>
    <row r="194" spans="2:3" x14ac:dyDescent="0.3">
      <c r="B194" s="3">
        <v>446826</v>
      </c>
      <c r="C194">
        <v>1</v>
      </c>
    </row>
    <row r="195" spans="2:3" x14ac:dyDescent="0.3">
      <c r="B195" s="3">
        <v>449494</v>
      </c>
      <c r="C195">
        <v>1</v>
      </c>
    </row>
    <row r="196" spans="2:3" x14ac:dyDescent="0.3">
      <c r="B196" s="3">
        <v>450272</v>
      </c>
      <c r="C196">
        <v>1</v>
      </c>
    </row>
    <row r="197" spans="2:3" x14ac:dyDescent="0.3">
      <c r="B197" s="3">
        <v>453621</v>
      </c>
      <c r="C197">
        <v>1</v>
      </c>
    </row>
    <row r="198" spans="2:3" x14ac:dyDescent="0.3">
      <c r="B198" s="3">
        <v>453699</v>
      </c>
      <c r="C198">
        <v>1</v>
      </c>
    </row>
    <row r="199" spans="2:3" x14ac:dyDescent="0.3">
      <c r="B199" s="3">
        <v>454612</v>
      </c>
      <c r="C199">
        <v>1</v>
      </c>
    </row>
    <row r="200" spans="2:3" x14ac:dyDescent="0.3">
      <c r="B200" s="3">
        <v>457761</v>
      </c>
      <c r="C200">
        <v>1</v>
      </c>
    </row>
    <row r="201" spans="2:3" x14ac:dyDescent="0.3">
      <c r="B201" s="3">
        <v>459550</v>
      </c>
      <c r="C201">
        <v>1</v>
      </c>
    </row>
    <row r="202" spans="2:3" x14ac:dyDescent="0.3">
      <c r="B202" s="3">
        <v>459857</v>
      </c>
      <c r="C202">
        <v>1</v>
      </c>
    </row>
    <row r="203" spans="2:3" x14ac:dyDescent="0.3">
      <c r="B203" s="3">
        <v>460288</v>
      </c>
      <c r="C203">
        <v>1</v>
      </c>
    </row>
    <row r="204" spans="2:3" x14ac:dyDescent="0.3">
      <c r="B204" s="3">
        <v>460707</v>
      </c>
      <c r="C204">
        <v>1</v>
      </c>
    </row>
    <row r="205" spans="2:3" x14ac:dyDescent="0.3">
      <c r="B205" s="3">
        <v>462822</v>
      </c>
      <c r="C205">
        <v>1</v>
      </c>
    </row>
    <row r="206" spans="2:3" x14ac:dyDescent="0.3">
      <c r="B206" s="3">
        <v>464154</v>
      </c>
      <c r="C206">
        <v>1</v>
      </c>
    </row>
    <row r="207" spans="2:3" x14ac:dyDescent="0.3">
      <c r="B207" s="3">
        <v>464910</v>
      </c>
      <c r="C207">
        <v>1</v>
      </c>
    </row>
    <row r="208" spans="2:3" x14ac:dyDescent="0.3">
      <c r="B208" s="3">
        <v>466409</v>
      </c>
      <c r="C208">
        <v>1</v>
      </c>
    </row>
    <row r="209" spans="2:3" x14ac:dyDescent="0.3">
      <c r="B209" s="3">
        <v>473260</v>
      </c>
      <c r="C209">
        <v>1</v>
      </c>
    </row>
    <row r="210" spans="2:3" x14ac:dyDescent="0.3">
      <c r="B210" s="3">
        <v>473572</v>
      </c>
      <c r="C210">
        <v>1</v>
      </c>
    </row>
    <row r="211" spans="2:3" x14ac:dyDescent="0.3">
      <c r="B211" s="3">
        <v>475202</v>
      </c>
      <c r="C211">
        <v>1</v>
      </c>
    </row>
    <row r="212" spans="2:3" x14ac:dyDescent="0.3">
      <c r="B212" s="3">
        <v>475616</v>
      </c>
      <c r="C212">
        <v>1</v>
      </c>
    </row>
    <row r="213" spans="2:3" x14ac:dyDescent="0.3">
      <c r="B213" s="3">
        <v>479530</v>
      </c>
      <c r="C213">
        <v>1</v>
      </c>
    </row>
    <row r="214" spans="2:3" x14ac:dyDescent="0.3">
      <c r="B214" s="3">
        <v>479949</v>
      </c>
      <c r="C214">
        <v>1</v>
      </c>
    </row>
    <row r="215" spans="2:3" x14ac:dyDescent="0.3">
      <c r="B215" s="3">
        <v>481552</v>
      </c>
      <c r="C215">
        <v>1</v>
      </c>
    </row>
    <row r="216" spans="2:3" x14ac:dyDescent="0.3">
      <c r="B216" s="3">
        <v>489951</v>
      </c>
      <c r="C216">
        <v>1</v>
      </c>
    </row>
    <row r="217" spans="2:3" x14ac:dyDescent="0.3">
      <c r="B217" s="3">
        <v>490738</v>
      </c>
      <c r="C217">
        <v>1</v>
      </c>
    </row>
    <row r="218" spans="2:3" x14ac:dyDescent="0.3">
      <c r="B218" s="3">
        <v>492092</v>
      </c>
      <c r="C218">
        <v>1</v>
      </c>
    </row>
    <row r="219" spans="2:3" x14ac:dyDescent="0.3">
      <c r="B219" s="3">
        <v>504669</v>
      </c>
      <c r="C219">
        <v>1</v>
      </c>
    </row>
    <row r="220" spans="2:3" x14ac:dyDescent="0.3">
      <c r="B220" s="3">
        <v>507147</v>
      </c>
      <c r="C220">
        <v>1</v>
      </c>
    </row>
    <row r="221" spans="2:3" x14ac:dyDescent="0.3">
      <c r="B221" s="3">
        <v>507234</v>
      </c>
      <c r="C221">
        <v>1</v>
      </c>
    </row>
    <row r="222" spans="2:3" x14ac:dyDescent="0.3">
      <c r="B222" s="3">
        <v>509024</v>
      </c>
      <c r="C222">
        <v>1</v>
      </c>
    </row>
    <row r="223" spans="2:3" x14ac:dyDescent="0.3">
      <c r="B223" s="3">
        <v>509182</v>
      </c>
      <c r="C223">
        <v>1</v>
      </c>
    </row>
    <row r="224" spans="2:3" x14ac:dyDescent="0.3">
      <c r="B224" s="3">
        <v>509505</v>
      </c>
      <c r="C224">
        <v>1</v>
      </c>
    </row>
    <row r="225" spans="2:3" x14ac:dyDescent="0.3">
      <c r="B225" s="3">
        <v>514407</v>
      </c>
      <c r="C225">
        <v>1</v>
      </c>
    </row>
    <row r="226" spans="2:3" x14ac:dyDescent="0.3">
      <c r="B226" s="3">
        <v>516447</v>
      </c>
      <c r="C226">
        <v>1</v>
      </c>
    </row>
    <row r="227" spans="2:3" x14ac:dyDescent="0.3">
      <c r="B227" s="3">
        <v>518914</v>
      </c>
      <c r="C227">
        <v>1</v>
      </c>
    </row>
    <row r="228" spans="2:3" x14ac:dyDescent="0.3">
      <c r="B228" s="3">
        <v>520243</v>
      </c>
      <c r="C228">
        <v>1</v>
      </c>
    </row>
    <row r="229" spans="2:3" x14ac:dyDescent="0.3">
      <c r="B229" s="3">
        <v>521810</v>
      </c>
      <c r="C229">
        <v>1</v>
      </c>
    </row>
    <row r="230" spans="2:3" x14ac:dyDescent="0.3">
      <c r="B230" s="3">
        <v>523936</v>
      </c>
      <c r="C230">
        <v>1</v>
      </c>
    </row>
    <row r="231" spans="2:3" x14ac:dyDescent="0.3">
      <c r="B231" s="3">
        <v>523970</v>
      </c>
      <c r="C231">
        <v>1</v>
      </c>
    </row>
    <row r="232" spans="2:3" x14ac:dyDescent="0.3">
      <c r="B232" s="3">
        <v>524156</v>
      </c>
      <c r="C232">
        <v>1</v>
      </c>
    </row>
    <row r="233" spans="2:3" x14ac:dyDescent="0.3">
      <c r="B233" s="3">
        <v>524813</v>
      </c>
      <c r="C233">
        <v>1</v>
      </c>
    </row>
    <row r="234" spans="2:3" x14ac:dyDescent="0.3">
      <c r="B234" s="3">
        <v>528399</v>
      </c>
      <c r="C234">
        <v>1</v>
      </c>
    </row>
    <row r="235" spans="2:3" x14ac:dyDescent="0.3">
      <c r="B235" s="3">
        <v>529371</v>
      </c>
      <c r="C235">
        <v>1</v>
      </c>
    </row>
    <row r="236" spans="2:3" x14ac:dyDescent="0.3">
      <c r="B236" s="3">
        <v>530475</v>
      </c>
      <c r="C236">
        <v>1</v>
      </c>
    </row>
    <row r="237" spans="2:3" x14ac:dyDescent="0.3">
      <c r="B237" s="3">
        <v>531859</v>
      </c>
      <c r="C237">
        <v>1</v>
      </c>
    </row>
    <row r="238" spans="2:3" x14ac:dyDescent="0.3">
      <c r="B238" s="3">
        <v>533034</v>
      </c>
      <c r="C238">
        <v>1</v>
      </c>
    </row>
    <row r="239" spans="2:3" x14ac:dyDescent="0.3">
      <c r="B239" s="3">
        <v>533366</v>
      </c>
      <c r="C239">
        <v>1</v>
      </c>
    </row>
    <row r="240" spans="2:3" x14ac:dyDescent="0.3">
      <c r="B240" s="3">
        <v>533757</v>
      </c>
      <c r="C240">
        <v>1</v>
      </c>
    </row>
    <row r="241" spans="2:3" x14ac:dyDescent="0.3">
      <c r="B241" s="3">
        <v>534364</v>
      </c>
      <c r="C241">
        <v>1</v>
      </c>
    </row>
    <row r="242" spans="2:3" x14ac:dyDescent="0.3">
      <c r="B242" s="3">
        <v>536413</v>
      </c>
      <c r="C242">
        <v>1</v>
      </c>
    </row>
    <row r="243" spans="2:3" x14ac:dyDescent="0.3">
      <c r="B243" s="3">
        <v>538077</v>
      </c>
      <c r="C243">
        <v>1</v>
      </c>
    </row>
    <row r="244" spans="2:3" x14ac:dyDescent="0.3">
      <c r="B244" s="3">
        <v>539350</v>
      </c>
      <c r="C244">
        <v>1</v>
      </c>
    </row>
    <row r="245" spans="2:3" x14ac:dyDescent="0.3">
      <c r="B245" s="3">
        <v>544498</v>
      </c>
      <c r="C245">
        <v>1</v>
      </c>
    </row>
    <row r="246" spans="2:3" x14ac:dyDescent="0.3">
      <c r="B246" s="3">
        <v>544541</v>
      </c>
      <c r="C246">
        <v>1</v>
      </c>
    </row>
    <row r="247" spans="2:3" x14ac:dyDescent="0.3">
      <c r="B247" s="3">
        <v>545234</v>
      </c>
      <c r="C247">
        <v>1</v>
      </c>
    </row>
    <row r="248" spans="2:3" x14ac:dyDescent="0.3">
      <c r="B248" s="3">
        <v>545452</v>
      </c>
      <c r="C248">
        <v>1</v>
      </c>
    </row>
    <row r="249" spans="2:3" x14ac:dyDescent="0.3">
      <c r="B249" s="3">
        <v>547953</v>
      </c>
      <c r="C249">
        <v>1</v>
      </c>
    </row>
    <row r="250" spans="2:3" x14ac:dyDescent="0.3">
      <c r="B250" s="3">
        <v>552388</v>
      </c>
      <c r="C250">
        <v>1</v>
      </c>
    </row>
    <row r="251" spans="2:3" x14ac:dyDescent="0.3">
      <c r="B251" s="3">
        <v>552695</v>
      </c>
      <c r="C251">
        <v>1</v>
      </c>
    </row>
    <row r="252" spans="2:3" x14ac:dyDescent="0.3">
      <c r="B252" s="3">
        <v>553618</v>
      </c>
      <c r="C252">
        <v>1</v>
      </c>
    </row>
    <row r="253" spans="2:3" x14ac:dyDescent="0.3">
      <c r="B253" s="3">
        <v>555371</v>
      </c>
      <c r="C253">
        <v>1</v>
      </c>
    </row>
    <row r="254" spans="2:3" x14ac:dyDescent="0.3">
      <c r="B254" s="3">
        <v>557246</v>
      </c>
      <c r="C254">
        <v>1</v>
      </c>
    </row>
    <row r="255" spans="2:3" x14ac:dyDescent="0.3">
      <c r="B255" s="3">
        <v>560593</v>
      </c>
      <c r="C255">
        <v>1</v>
      </c>
    </row>
    <row r="256" spans="2:3" x14ac:dyDescent="0.3">
      <c r="B256" s="3">
        <v>561029</v>
      </c>
      <c r="C256">
        <v>1</v>
      </c>
    </row>
    <row r="257" spans="2:3" x14ac:dyDescent="0.3">
      <c r="B257" s="3">
        <v>563828</v>
      </c>
      <c r="C257">
        <v>1</v>
      </c>
    </row>
    <row r="258" spans="2:3" x14ac:dyDescent="0.3">
      <c r="B258" s="3">
        <v>564685</v>
      </c>
      <c r="C258">
        <v>1</v>
      </c>
    </row>
    <row r="259" spans="2:3" x14ac:dyDescent="0.3">
      <c r="B259" s="3">
        <v>564962</v>
      </c>
      <c r="C259">
        <v>1</v>
      </c>
    </row>
    <row r="260" spans="2:3" x14ac:dyDescent="0.3">
      <c r="B260" s="3">
        <v>565614</v>
      </c>
      <c r="C260">
        <v>1</v>
      </c>
    </row>
    <row r="261" spans="2:3" x14ac:dyDescent="0.3">
      <c r="B261" s="3">
        <v>565942</v>
      </c>
      <c r="C261">
        <v>1</v>
      </c>
    </row>
    <row r="262" spans="2:3" x14ac:dyDescent="0.3">
      <c r="B262" s="3">
        <v>567678</v>
      </c>
      <c r="C262">
        <v>1</v>
      </c>
    </row>
    <row r="263" spans="2:3" x14ac:dyDescent="0.3">
      <c r="B263" s="3">
        <v>567798</v>
      </c>
      <c r="C263">
        <v>1</v>
      </c>
    </row>
    <row r="264" spans="2:3" x14ac:dyDescent="0.3">
      <c r="B264" s="3">
        <v>568353</v>
      </c>
      <c r="C264">
        <v>1</v>
      </c>
    </row>
    <row r="265" spans="2:3" x14ac:dyDescent="0.3">
      <c r="B265" s="3">
        <v>568609</v>
      </c>
      <c r="C265">
        <v>1</v>
      </c>
    </row>
    <row r="266" spans="2:3" x14ac:dyDescent="0.3">
      <c r="B266" s="3">
        <v>568881</v>
      </c>
      <c r="C266">
        <v>1</v>
      </c>
    </row>
    <row r="267" spans="2:3" x14ac:dyDescent="0.3">
      <c r="B267" s="3">
        <v>569629</v>
      </c>
      <c r="C267">
        <v>1</v>
      </c>
    </row>
    <row r="268" spans="2:3" x14ac:dyDescent="0.3">
      <c r="B268" s="3">
        <v>569704</v>
      </c>
      <c r="C268">
        <v>1</v>
      </c>
    </row>
    <row r="269" spans="2:3" x14ac:dyDescent="0.3">
      <c r="B269" s="3">
        <v>570485</v>
      </c>
      <c r="C269">
        <v>1</v>
      </c>
    </row>
    <row r="270" spans="2:3" x14ac:dyDescent="0.3">
      <c r="B270" s="3">
        <v>570696</v>
      </c>
      <c r="C270">
        <v>1</v>
      </c>
    </row>
    <row r="271" spans="2:3" x14ac:dyDescent="0.3">
      <c r="B271" s="3">
        <v>572980</v>
      </c>
      <c r="C271">
        <v>1</v>
      </c>
    </row>
    <row r="272" spans="2:3" x14ac:dyDescent="0.3">
      <c r="B272" s="3">
        <v>575179</v>
      </c>
      <c r="C272">
        <v>1</v>
      </c>
    </row>
    <row r="273" spans="2:3" x14ac:dyDescent="0.3">
      <c r="B273" s="3">
        <v>578684</v>
      </c>
      <c r="C273">
        <v>1</v>
      </c>
    </row>
    <row r="274" spans="2:3" x14ac:dyDescent="0.3">
      <c r="B274" s="3">
        <v>579752</v>
      </c>
      <c r="C274">
        <v>1</v>
      </c>
    </row>
    <row r="275" spans="2:3" x14ac:dyDescent="0.3">
      <c r="B275" s="3">
        <v>579900</v>
      </c>
      <c r="C275">
        <v>1</v>
      </c>
    </row>
    <row r="276" spans="2:3" x14ac:dyDescent="0.3">
      <c r="B276" s="3">
        <v>584031</v>
      </c>
      <c r="C276">
        <v>1</v>
      </c>
    </row>
    <row r="277" spans="2:3" x14ac:dyDescent="0.3">
      <c r="B277" s="3">
        <v>585434</v>
      </c>
      <c r="C277">
        <v>1</v>
      </c>
    </row>
    <row r="278" spans="2:3" x14ac:dyDescent="0.3">
      <c r="B278" s="3">
        <v>586706</v>
      </c>
      <c r="C278">
        <v>1</v>
      </c>
    </row>
    <row r="279" spans="2:3" x14ac:dyDescent="0.3">
      <c r="B279" s="3">
        <v>588946</v>
      </c>
      <c r="C279">
        <v>1</v>
      </c>
    </row>
    <row r="280" spans="2:3" x14ac:dyDescent="0.3">
      <c r="B280" s="3">
        <v>592263</v>
      </c>
      <c r="C280">
        <v>1</v>
      </c>
    </row>
    <row r="281" spans="2:3" x14ac:dyDescent="0.3">
      <c r="B281" s="3">
        <v>592501</v>
      </c>
      <c r="C281">
        <v>1</v>
      </c>
    </row>
    <row r="282" spans="2:3" x14ac:dyDescent="0.3">
      <c r="B282" s="3">
        <v>595797</v>
      </c>
      <c r="C282">
        <v>1</v>
      </c>
    </row>
    <row r="283" spans="2:3" x14ac:dyDescent="0.3">
      <c r="B283" s="3">
        <v>596468</v>
      </c>
      <c r="C283">
        <v>1</v>
      </c>
    </row>
    <row r="284" spans="2:3" x14ac:dyDescent="0.3">
      <c r="B284" s="3">
        <v>599905</v>
      </c>
      <c r="C284">
        <v>1</v>
      </c>
    </row>
    <row r="285" spans="2:3" x14ac:dyDescent="0.3">
      <c r="B285" s="3">
        <v>603602</v>
      </c>
      <c r="C285">
        <v>1</v>
      </c>
    </row>
    <row r="286" spans="2:3" x14ac:dyDescent="0.3">
      <c r="B286" s="3">
        <v>605524</v>
      </c>
      <c r="C286">
        <v>1</v>
      </c>
    </row>
    <row r="287" spans="2:3" x14ac:dyDescent="0.3">
      <c r="B287" s="3">
        <v>612319</v>
      </c>
      <c r="C287">
        <v>1</v>
      </c>
    </row>
    <row r="288" spans="2:3" x14ac:dyDescent="0.3">
      <c r="B288" s="3">
        <v>613463</v>
      </c>
      <c r="C288">
        <v>1</v>
      </c>
    </row>
    <row r="289" spans="2:3" x14ac:dyDescent="0.3">
      <c r="B289" s="3">
        <v>615769</v>
      </c>
      <c r="C289">
        <v>1</v>
      </c>
    </row>
    <row r="290" spans="2:3" x14ac:dyDescent="0.3">
      <c r="B290" s="3">
        <v>615941</v>
      </c>
      <c r="C290">
        <v>1</v>
      </c>
    </row>
    <row r="291" spans="2:3" x14ac:dyDescent="0.3">
      <c r="B291" s="3">
        <v>618099</v>
      </c>
      <c r="C291">
        <v>1</v>
      </c>
    </row>
    <row r="292" spans="2:3" x14ac:dyDescent="0.3">
      <c r="B292" s="3">
        <v>619316</v>
      </c>
      <c r="C292">
        <v>1</v>
      </c>
    </row>
    <row r="293" spans="2:3" x14ac:dyDescent="0.3">
      <c r="B293" s="3">
        <v>621252</v>
      </c>
      <c r="C293">
        <v>1</v>
      </c>
    </row>
    <row r="294" spans="2:3" x14ac:dyDescent="0.3">
      <c r="B294" s="3">
        <v>624419</v>
      </c>
      <c r="C294">
        <v>1</v>
      </c>
    </row>
    <row r="295" spans="2:3" x14ac:dyDescent="0.3">
      <c r="B295" s="3">
        <v>627322</v>
      </c>
      <c r="C295">
        <v>1</v>
      </c>
    </row>
    <row r="296" spans="2:3" x14ac:dyDescent="0.3">
      <c r="B296" s="3">
        <v>627945</v>
      </c>
      <c r="C296">
        <v>1</v>
      </c>
    </row>
    <row r="297" spans="2:3" x14ac:dyDescent="0.3">
      <c r="B297" s="3">
        <v>630575</v>
      </c>
      <c r="C297">
        <v>1</v>
      </c>
    </row>
    <row r="298" spans="2:3" x14ac:dyDescent="0.3">
      <c r="B298" s="3">
        <v>633665</v>
      </c>
      <c r="C298">
        <v>1</v>
      </c>
    </row>
    <row r="299" spans="2:3" x14ac:dyDescent="0.3">
      <c r="B299" s="3">
        <v>634610</v>
      </c>
      <c r="C299">
        <v>1</v>
      </c>
    </row>
    <row r="300" spans="2:3" x14ac:dyDescent="0.3">
      <c r="B300" s="3">
        <v>638327</v>
      </c>
      <c r="C300">
        <v>1</v>
      </c>
    </row>
    <row r="301" spans="2:3" x14ac:dyDescent="0.3">
      <c r="B301" s="3">
        <v>647407</v>
      </c>
      <c r="C301">
        <v>1</v>
      </c>
    </row>
    <row r="302" spans="2:3" x14ac:dyDescent="0.3">
      <c r="B302" s="3">
        <v>647451</v>
      </c>
      <c r="C302">
        <v>1</v>
      </c>
    </row>
    <row r="303" spans="2:3" x14ac:dyDescent="0.3">
      <c r="B303" s="3">
        <v>648879</v>
      </c>
      <c r="C303">
        <v>1</v>
      </c>
    </row>
    <row r="304" spans="2:3" x14ac:dyDescent="0.3">
      <c r="B304" s="3">
        <v>649852</v>
      </c>
      <c r="C304">
        <v>1</v>
      </c>
    </row>
    <row r="305" spans="2:3" x14ac:dyDescent="0.3">
      <c r="B305" s="3">
        <v>651220</v>
      </c>
      <c r="C305">
        <v>1</v>
      </c>
    </row>
    <row r="306" spans="2:3" x14ac:dyDescent="0.3">
      <c r="B306" s="3">
        <v>651973</v>
      </c>
      <c r="C306">
        <v>1</v>
      </c>
    </row>
    <row r="307" spans="2:3" x14ac:dyDescent="0.3">
      <c r="B307" s="3">
        <v>652501</v>
      </c>
      <c r="C307">
        <v>1</v>
      </c>
    </row>
    <row r="308" spans="2:3" x14ac:dyDescent="0.3">
      <c r="B308" s="3">
        <v>653047</v>
      </c>
      <c r="C308">
        <v>1</v>
      </c>
    </row>
    <row r="309" spans="2:3" x14ac:dyDescent="0.3">
      <c r="B309" s="3">
        <v>655225</v>
      </c>
      <c r="C309">
        <v>1</v>
      </c>
    </row>
    <row r="310" spans="2:3" x14ac:dyDescent="0.3">
      <c r="B310" s="3">
        <v>658891</v>
      </c>
      <c r="C310">
        <v>1</v>
      </c>
    </row>
    <row r="311" spans="2:3" x14ac:dyDescent="0.3">
      <c r="B311" s="3">
        <v>658908</v>
      </c>
      <c r="C311">
        <v>1</v>
      </c>
    </row>
    <row r="312" spans="2:3" x14ac:dyDescent="0.3">
      <c r="B312" s="3">
        <v>659251</v>
      </c>
      <c r="C312">
        <v>1</v>
      </c>
    </row>
    <row r="313" spans="2:3" x14ac:dyDescent="0.3">
      <c r="B313" s="3">
        <v>659674</v>
      </c>
      <c r="C313">
        <v>1</v>
      </c>
    </row>
    <row r="314" spans="2:3" x14ac:dyDescent="0.3">
      <c r="B314" s="3">
        <v>661610</v>
      </c>
      <c r="C314">
        <v>1</v>
      </c>
    </row>
    <row r="315" spans="2:3" x14ac:dyDescent="0.3">
      <c r="B315" s="3">
        <v>661975</v>
      </c>
      <c r="C315">
        <v>1</v>
      </c>
    </row>
    <row r="316" spans="2:3" x14ac:dyDescent="0.3">
      <c r="B316" s="3">
        <v>665314</v>
      </c>
      <c r="C316">
        <v>1</v>
      </c>
    </row>
    <row r="317" spans="2:3" x14ac:dyDescent="0.3">
      <c r="B317" s="3">
        <v>672763</v>
      </c>
      <c r="C317">
        <v>1</v>
      </c>
    </row>
    <row r="318" spans="2:3" x14ac:dyDescent="0.3">
      <c r="B318" s="3">
        <v>674437</v>
      </c>
      <c r="C318">
        <v>1</v>
      </c>
    </row>
    <row r="319" spans="2:3" x14ac:dyDescent="0.3">
      <c r="B319" s="3">
        <v>674507</v>
      </c>
      <c r="C319">
        <v>1</v>
      </c>
    </row>
    <row r="320" spans="2:3" x14ac:dyDescent="0.3">
      <c r="B320" s="3">
        <v>675778</v>
      </c>
      <c r="C320">
        <v>1</v>
      </c>
    </row>
    <row r="321" spans="2:3" x14ac:dyDescent="0.3">
      <c r="B321" s="3">
        <v>675784</v>
      </c>
      <c r="C321">
        <v>1</v>
      </c>
    </row>
    <row r="322" spans="2:3" x14ac:dyDescent="0.3">
      <c r="B322" s="3">
        <v>677618</v>
      </c>
      <c r="C322">
        <v>1</v>
      </c>
    </row>
    <row r="323" spans="2:3" x14ac:dyDescent="0.3">
      <c r="B323" s="3">
        <v>678961</v>
      </c>
      <c r="C323">
        <v>1</v>
      </c>
    </row>
    <row r="324" spans="2:3" x14ac:dyDescent="0.3">
      <c r="B324" s="3">
        <v>679021</v>
      </c>
      <c r="C324">
        <v>1</v>
      </c>
    </row>
    <row r="325" spans="2:3" x14ac:dyDescent="0.3">
      <c r="B325" s="3">
        <v>682271</v>
      </c>
      <c r="C325">
        <v>1</v>
      </c>
    </row>
    <row r="326" spans="2:3" x14ac:dyDescent="0.3">
      <c r="B326" s="3">
        <v>683367</v>
      </c>
      <c r="C326">
        <v>1</v>
      </c>
    </row>
    <row r="327" spans="2:3" x14ac:dyDescent="0.3">
      <c r="B327" s="3">
        <v>683741</v>
      </c>
      <c r="C327">
        <v>1</v>
      </c>
    </row>
    <row r="328" spans="2:3" x14ac:dyDescent="0.3">
      <c r="B328" s="3">
        <v>684987</v>
      </c>
      <c r="C328">
        <v>1</v>
      </c>
    </row>
    <row r="329" spans="2:3" x14ac:dyDescent="0.3">
      <c r="B329" s="3">
        <v>685188</v>
      </c>
      <c r="C329">
        <v>1</v>
      </c>
    </row>
    <row r="330" spans="2:3" x14ac:dyDescent="0.3">
      <c r="B330" s="3">
        <v>689047</v>
      </c>
      <c r="C330">
        <v>1</v>
      </c>
    </row>
    <row r="331" spans="2:3" x14ac:dyDescent="0.3">
      <c r="B331" s="3">
        <v>689621</v>
      </c>
      <c r="C331">
        <v>1</v>
      </c>
    </row>
    <row r="332" spans="2:3" x14ac:dyDescent="0.3">
      <c r="B332" s="3">
        <v>690301</v>
      </c>
      <c r="C332">
        <v>1</v>
      </c>
    </row>
    <row r="333" spans="2:3" x14ac:dyDescent="0.3">
      <c r="B333" s="3">
        <v>690626</v>
      </c>
      <c r="C333">
        <v>1</v>
      </c>
    </row>
    <row r="334" spans="2:3" x14ac:dyDescent="0.3">
      <c r="B334" s="3">
        <v>690698</v>
      </c>
      <c r="C334">
        <v>1</v>
      </c>
    </row>
    <row r="335" spans="2:3" x14ac:dyDescent="0.3">
      <c r="B335" s="3">
        <v>691233</v>
      </c>
      <c r="C335">
        <v>1</v>
      </c>
    </row>
    <row r="336" spans="2:3" x14ac:dyDescent="0.3">
      <c r="B336" s="3">
        <v>692379</v>
      </c>
      <c r="C336">
        <v>1</v>
      </c>
    </row>
    <row r="337" spans="2:3" x14ac:dyDescent="0.3">
      <c r="B337" s="3">
        <v>693194</v>
      </c>
      <c r="C337">
        <v>1</v>
      </c>
    </row>
    <row r="338" spans="2:3" x14ac:dyDescent="0.3">
      <c r="B338" s="3">
        <v>694119</v>
      </c>
      <c r="C338">
        <v>1</v>
      </c>
    </row>
    <row r="339" spans="2:3" x14ac:dyDescent="0.3">
      <c r="B339" s="3">
        <v>695378</v>
      </c>
      <c r="C339">
        <v>1</v>
      </c>
    </row>
    <row r="340" spans="2:3" x14ac:dyDescent="0.3">
      <c r="B340" s="3">
        <v>700274</v>
      </c>
      <c r="C340">
        <v>1</v>
      </c>
    </row>
    <row r="341" spans="2:3" x14ac:dyDescent="0.3">
      <c r="B341" s="3">
        <v>704096</v>
      </c>
      <c r="C341">
        <v>1</v>
      </c>
    </row>
    <row r="342" spans="2:3" x14ac:dyDescent="0.3">
      <c r="B342" s="3">
        <v>706008</v>
      </c>
      <c r="C342">
        <v>1</v>
      </c>
    </row>
    <row r="343" spans="2:3" x14ac:dyDescent="0.3">
      <c r="B343" s="3">
        <v>709387</v>
      </c>
      <c r="C343">
        <v>1</v>
      </c>
    </row>
    <row r="344" spans="2:3" x14ac:dyDescent="0.3">
      <c r="B344" s="3">
        <v>712345</v>
      </c>
      <c r="C344">
        <v>1</v>
      </c>
    </row>
    <row r="345" spans="2:3" x14ac:dyDescent="0.3">
      <c r="B345" s="3">
        <v>713748</v>
      </c>
      <c r="C345">
        <v>1</v>
      </c>
    </row>
    <row r="346" spans="2:3" x14ac:dyDescent="0.3">
      <c r="B346" s="3">
        <v>716285</v>
      </c>
      <c r="C346">
        <v>1</v>
      </c>
    </row>
    <row r="347" spans="2:3" x14ac:dyDescent="0.3">
      <c r="B347" s="3">
        <v>718015</v>
      </c>
      <c r="C347">
        <v>1</v>
      </c>
    </row>
    <row r="348" spans="2:3" x14ac:dyDescent="0.3">
      <c r="B348" s="3">
        <v>718531</v>
      </c>
      <c r="C348">
        <v>1</v>
      </c>
    </row>
    <row r="349" spans="2:3" x14ac:dyDescent="0.3">
      <c r="B349" s="3">
        <v>718664</v>
      </c>
      <c r="C349">
        <v>1</v>
      </c>
    </row>
    <row r="350" spans="2:3" x14ac:dyDescent="0.3">
      <c r="B350" s="3">
        <v>721340</v>
      </c>
      <c r="C350">
        <v>1</v>
      </c>
    </row>
    <row r="351" spans="2:3" x14ac:dyDescent="0.3">
      <c r="B351" s="3">
        <v>722523</v>
      </c>
      <c r="C351">
        <v>1</v>
      </c>
    </row>
    <row r="352" spans="2:3" x14ac:dyDescent="0.3">
      <c r="B352" s="3">
        <v>725385</v>
      </c>
      <c r="C352">
        <v>1</v>
      </c>
    </row>
    <row r="353" spans="2:3" x14ac:dyDescent="0.3">
      <c r="B353" s="3">
        <v>725646</v>
      </c>
      <c r="C353">
        <v>1</v>
      </c>
    </row>
    <row r="354" spans="2:3" x14ac:dyDescent="0.3">
      <c r="B354" s="3">
        <v>726225</v>
      </c>
      <c r="C354">
        <v>1</v>
      </c>
    </row>
    <row r="355" spans="2:3" x14ac:dyDescent="0.3">
      <c r="B355" s="3">
        <v>727196</v>
      </c>
      <c r="C355">
        <v>1</v>
      </c>
    </row>
    <row r="356" spans="2:3" x14ac:dyDescent="0.3">
      <c r="B356" s="3">
        <v>727634</v>
      </c>
      <c r="C356">
        <v>1</v>
      </c>
    </row>
    <row r="357" spans="2:3" x14ac:dyDescent="0.3">
      <c r="B357" s="3">
        <v>728256</v>
      </c>
      <c r="C357">
        <v>1</v>
      </c>
    </row>
    <row r="358" spans="2:3" x14ac:dyDescent="0.3">
      <c r="B358" s="3">
        <v>730030</v>
      </c>
      <c r="C358">
        <v>1</v>
      </c>
    </row>
    <row r="359" spans="2:3" x14ac:dyDescent="0.3">
      <c r="B359" s="3">
        <v>731100</v>
      </c>
      <c r="C359">
        <v>1</v>
      </c>
    </row>
    <row r="360" spans="2:3" x14ac:dyDescent="0.3">
      <c r="B360" s="3">
        <v>734296</v>
      </c>
      <c r="C360">
        <v>1</v>
      </c>
    </row>
    <row r="361" spans="2:3" x14ac:dyDescent="0.3">
      <c r="B361" s="3">
        <v>737238</v>
      </c>
      <c r="C361">
        <v>1</v>
      </c>
    </row>
    <row r="362" spans="2:3" x14ac:dyDescent="0.3">
      <c r="B362" s="3">
        <v>740300</v>
      </c>
      <c r="C362">
        <v>1</v>
      </c>
    </row>
    <row r="363" spans="2:3" x14ac:dyDescent="0.3">
      <c r="B363" s="3">
        <v>740305</v>
      </c>
      <c r="C363">
        <v>1</v>
      </c>
    </row>
    <row r="364" spans="2:3" x14ac:dyDescent="0.3">
      <c r="B364" s="3">
        <v>743304</v>
      </c>
      <c r="C364">
        <v>1</v>
      </c>
    </row>
    <row r="365" spans="2:3" x14ac:dyDescent="0.3">
      <c r="B365" s="3">
        <v>749260</v>
      </c>
      <c r="C365">
        <v>1</v>
      </c>
    </row>
    <row r="366" spans="2:3" x14ac:dyDescent="0.3">
      <c r="B366" s="3">
        <v>749572</v>
      </c>
      <c r="C366">
        <v>1</v>
      </c>
    </row>
    <row r="367" spans="2:3" x14ac:dyDescent="0.3">
      <c r="B367" s="3">
        <v>751030</v>
      </c>
      <c r="C367">
        <v>1</v>
      </c>
    </row>
    <row r="368" spans="2:3" x14ac:dyDescent="0.3">
      <c r="B368" s="3">
        <v>752028</v>
      </c>
      <c r="C368">
        <v>1</v>
      </c>
    </row>
    <row r="369" spans="2:3" x14ac:dyDescent="0.3">
      <c r="B369" s="3">
        <v>752827</v>
      </c>
      <c r="C369">
        <v>1</v>
      </c>
    </row>
    <row r="370" spans="2:3" x14ac:dyDescent="0.3">
      <c r="B370" s="3">
        <v>760603</v>
      </c>
      <c r="C370">
        <v>1</v>
      </c>
    </row>
    <row r="371" spans="2:3" x14ac:dyDescent="0.3">
      <c r="B371" s="3">
        <v>761621</v>
      </c>
      <c r="C371">
        <v>1</v>
      </c>
    </row>
    <row r="372" spans="2:3" x14ac:dyDescent="0.3">
      <c r="B372" s="3">
        <v>761846</v>
      </c>
      <c r="C372">
        <v>1</v>
      </c>
    </row>
    <row r="373" spans="2:3" x14ac:dyDescent="0.3">
      <c r="B373" s="3">
        <v>764808</v>
      </c>
      <c r="C373">
        <v>1</v>
      </c>
    </row>
    <row r="374" spans="2:3" x14ac:dyDescent="0.3">
      <c r="B374" s="3">
        <v>764919</v>
      </c>
      <c r="C374">
        <v>1</v>
      </c>
    </row>
    <row r="375" spans="2:3" x14ac:dyDescent="0.3">
      <c r="B375" s="3">
        <v>765487</v>
      </c>
      <c r="C375">
        <v>1</v>
      </c>
    </row>
    <row r="376" spans="2:3" x14ac:dyDescent="0.3">
      <c r="B376" s="3">
        <v>767001</v>
      </c>
      <c r="C376">
        <v>1</v>
      </c>
    </row>
    <row r="377" spans="2:3" x14ac:dyDescent="0.3">
      <c r="B377" s="3">
        <v>767038</v>
      </c>
      <c r="C377">
        <v>1</v>
      </c>
    </row>
    <row r="378" spans="2:3" x14ac:dyDescent="0.3">
      <c r="B378" s="3">
        <v>768984</v>
      </c>
      <c r="C378">
        <v>1</v>
      </c>
    </row>
    <row r="379" spans="2:3" x14ac:dyDescent="0.3">
      <c r="B379" s="3">
        <v>770075</v>
      </c>
      <c r="C379">
        <v>1</v>
      </c>
    </row>
    <row r="380" spans="2:3" x14ac:dyDescent="0.3">
      <c r="B380" s="3">
        <v>771785</v>
      </c>
      <c r="C380">
        <v>1</v>
      </c>
    </row>
    <row r="381" spans="2:3" x14ac:dyDescent="0.3">
      <c r="B381" s="3">
        <v>772937</v>
      </c>
      <c r="C381">
        <v>1</v>
      </c>
    </row>
    <row r="382" spans="2:3" x14ac:dyDescent="0.3">
      <c r="B382" s="3">
        <v>772989</v>
      </c>
      <c r="C382">
        <v>1</v>
      </c>
    </row>
    <row r="383" spans="2:3" x14ac:dyDescent="0.3">
      <c r="B383" s="3">
        <v>774637</v>
      </c>
      <c r="C383">
        <v>1</v>
      </c>
    </row>
    <row r="384" spans="2:3" x14ac:dyDescent="0.3">
      <c r="B384" s="3">
        <v>775026</v>
      </c>
      <c r="C384">
        <v>1</v>
      </c>
    </row>
    <row r="385" spans="2:3" x14ac:dyDescent="0.3">
      <c r="B385" s="3">
        <v>775874</v>
      </c>
      <c r="C385">
        <v>1</v>
      </c>
    </row>
    <row r="386" spans="2:3" x14ac:dyDescent="0.3">
      <c r="B386" s="3">
        <v>776252</v>
      </c>
      <c r="C386">
        <v>1</v>
      </c>
    </row>
    <row r="387" spans="2:3" x14ac:dyDescent="0.3">
      <c r="B387" s="3">
        <v>779817</v>
      </c>
      <c r="C387">
        <v>1</v>
      </c>
    </row>
    <row r="388" spans="2:3" x14ac:dyDescent="0.3">
      <c r="B388" s="3">
        <v>780768</v>
      </c>
      <c r="C388">
        <v>1</v>
      </c>
    </row>
    <row r="389" spans="2:3" x14ac:dyDescent="0.3">
      <c r="B389" s="3">
        <v>780928</v>
      </c>
      <c r="C389">
        <v>1</v>
      </c>
    </row>
    <row r="390" spans="2:3" x14ac:dyDescent="0.3">
      <c r="B390" s="3">
        <v>784041</v>
      </c>
      <c r="C390">
        <v>1</v>
      </c>
    </row>
    <row r="391" spans="2:3" x14ac:dyDescent="0.3">
      <c r="B391" s="3">
        <v>787015</v>
      </c>
      <c r="C391">
        <v>1</v>
      </c>
    </row>
    <row r="392" spans="2:3" x14ac:dyDescent="0.3">
      <c r="B392" s="3">
        <v>792044</v>
      </c>
      <c r="C392">
        <v>1</v>
      </c>
    </row>
    <row r="393" spans="2:3" x14ac:dyDescent="0.3">
      <c r="B393" s="3">
        <v>792128</v>
      </c>
      <c r="C393">
        <v>1</v>
      </c>
    </row>
    <row r="394" spans="2:3" x14ac:dyDescent="0.3">
      <c r="B394" s="3">
        <v>795373</v>
      </c>
      <c r="C394">
        <v>1</v>
      </c>
    </row>
    <row r="395" spans="2:3" x14ac:dyDescent="0.3">
      <c r="B395" s="3">
        <v>798832</v>
      </c>
      <c r="C395">
        <v>1</v>
      </c>
    </row>
    <row r="396" spans="2:3" x14ac:dyDescent="0.3">
      <c r="B396" s="3">
        <v>801581</v>
      </c>
      <c r="C396">
        <v>1</v>
      </c>
    </row>
    <row r="397" spans="2:3" x14ac:dyDescent="0.3">
      <c r="B397" s="3">
        <v>802444</v>
      </c>
      <c r="C397">
        <v>1</v>
      </c>
    </row>
    <row r="398" spans="2:3" x14ac:dyDescent="0.3">
      <c r="B398" s="3">
        <v>805755</v>
      </c>
      <c r="C398">
        <v>1</v>
      </c>
    </row>
    <row r="399" spans="2:3" x14ac:dyDescent="0.3">
      <c r="B399" s="3">
        <v>806467</v>
      </c>
      <c r="C399">
        <v>1</v>
      </c>
    </row>
    <row r="400" spans="2:3" x14ac:dyDescent="0.3">
      <c r="B400" s="3">
        <v>807933</v>
      </c>
      <c r="C400">
        <v>1</v>
      </c>
    </row>
    <row r="401" spans="2:3" x14ac:dyDescent="0.3">
      <c r="B401" s="3">
        <v>809306</v>
      </c>
      <c r="C401">
        <v>1</v>
      </c>
    </row>
    <row r="402" spans="2:3" x14ac:dyDescent="0.3">
      <c r="B402" s="3">
        <v>812461</v>
      </c>
      <c r="C402">
        <v>1</v>
      </c>
    </row>
    <row r="403" spans="2:3" x14ac:dyDescent="0.3">
      <c r="B403" s="3">
        <v>814098</v>
      </c>
      <c r="C403">
        <v>1</v>
      </c>
    </row>
    <row r="404" spans="2:3" x14ac:dyDescent="0.3">
      <c r="B404" s="3">
        <v>815415</v>
      </c>
      <c r="C404">
        <v>1</v>
      </c>
    </row>
    <row r="405" spans="2:3" x14ac:dyDescent="0.3">
      <c r="B405" s="3">
        <v>817632</v>
      </c>
      <c r="C405">
        <v>1</v>
      </c>
    </row>
    <row r="406" spans="2:3" x14ac:dyDescent="0.3">
      <c r="B406" s="3">
        <v>818431</v>
      </c>
      <c r="C406">
        <v>1</v>
      </c>
    </row>
    <row r="407" spans="2:3" x14ac:dyDescent="0.3">
      <c r="B407" s="3">
        <v>818603</v>
      </c>
      <c r="C407">
        <v>1</v>
      </c>
    </row>
    <row r="408" spans="2:3" x14ac:dyDescent="0.3">
      <c r="B408" s="3">
        <v>820049</v>
      </c>
      <c r="C408">
        <v>1</v>
      </c>
    </row>
    <row r="409" spans="2:3" x14ac:dyDescent="0.3">
      <c r="B409" s="3">
        <v>826365</v>
      </c>
      <c r="C409">
        <v>1</v>
      </c>
    </row>
    <row r="410" spans="2:3" x14ac:dyDescent="0.3">
      <c r="B410" s="3">
        <v>829378</v>
      </c>
      <c r="C410">
        <v>1</v>
      </c>
    </row>
    <row r="411" spans="2:3" x14ac:dyDescent="0.3">
      <c r="B411" s="3">
        <v>833709</v>
      </c>
      <c r="C411">
        <v>1</v>
      </c>
    </row>
    <row r="412" spans="2:3" x14ac:dyDescent="0.3">
      <c r="B412" s="3">
        <v>835355</v>
      </c>
      <c r="C412">
        <v>1</v>
      </c>
    </row>
    <row r="413" spans="2:3" x14ac:dyDescent="0.3">
      <c r="B413" s="3">
        <v>837453</v>
      </c>
      <c r="C413">
        <v>1</v>
      </c>
    </row>
    <row r="414" spans="2:3" x14ac:dyDescent="0.3">
      <c r="B414" s="3">
        <v>840177</v>
      </c>
      <c r="C414">
        <v>1</v>
      </c>
    </row>
    <row r="415" spans="2:3" x14ac:dyDescent="0.3">
      <c r="B415" s="3">
        <v>841087</v>
      </c>
      <c r="C415">
        <v>1</v>
      </c>
    </row>
    <row r="416" spans="2:3" x14ac:dyDescent="0.3">
      <c r="B416" s="3">
        <v>842079</v>
      </c>
      <c r="C416">
        <v>1</v>
      </c>
    </row>
    <row r="417" spans="2:3" x14ac:dyDescent="0.3">
      <c r="B417" s="3">
        <v>842640</v>
      </c>
      <c r="C417">
        <v>1</v>
      </c>
    </row>
    <row r="418" spans="2:3" x14ac:dyDescent="0.3">
      <c r="B418" s="3">
        <v>843102</v>
      </c>
      <c r="C418">
        <v>1</v>
      </c>
    </row>
    <row r="419" spans="2:3" x14ac:dyDescent="0.3">
      <c r="B419" s="3">
        <v>846632</v>
      </c>
      <c r="C419">
        <v>1</v>
      </c>
    </row>
    <row r="420" spans="2:3" x14ac:dyDescent="0.3">
      <c r="B420" s="3">
        <v>850255</v>
      </c>
      <c r="C420">
        <v>1</v>
      </c>
    </row>
    <row r="421" spans="2:3" x14ac:dyDescent="0.3">
      <c r="B421" s="3">
        <v>851257</v>
      </c>
      <c r="C421">
        <v>1</v>
      </c>
    </row>
    <row r="422" spans="2:3" x14ac:dyDescent="0.3">
      <c r="B422" s="3">
        <v>851296</v>
      </c>
      <c r="C422">
        <v>1</v>
      </c>
    </row>
    <row r="423" spans="2:3" x14ac:dyDescent="0.3">
      <c r="B423" s="3">
        <v>853516</v>
      </c>
      <c r="C423">
        <v>1</v>
      </c>
    </row>
    <row r="424" spans="2:3" x14ac:dyDescent="0.3">
      <c r="B424" s="3">
        <v>853995</v>
      </c>
      <c r="C424">
        <v>1</v>
      </c>
    </row>
    <row r="425" spans="2:3" x14ac:dyDescent="0.3">
      <c r="B425" s="3">
        <v>854536</v>
      </c>
      <c r="C425">
        <v>1</v>
      </c>
    </row>
    <row r="426" spans="2:3" x14ac:dyDescent="0.3">
      <c r="B426" s="3">
        <v>855681</v>
      </c>
      <c r="C426">
        <v>1</v>
      </c>
    </row>
    <row r="427" spans="2:3" x14ac:dyDescent="0.3">
      <c r="B427" s="3">
        <v>856677</v>
      </c>
      <c r="C427">
        <v>1</v>
      </c>
    </row>
    <row r="428" spans="2:3" x14ac:dyDescent="0.3">
      <c r="B428" s="3">
        <v>860759</v>
      </c>
      <c r="C428">
        <v>1</v>
      </c>
    </row>
    <row r="429" spans="2:3" x14ac:dyDescent="0.3">
      <c r="B429" s="3">
        <v>861387</v>
      </c>
      <c r="C429">
        <v>1</v>
      </c>
    </row>
    <row r="430" spans="2:3" x14ac:dyDescent="0.3">
      <c r="B430" s="3">
        <v>861891</v>
      </c>
      <c r="C430">
        <v>1</v>
      </c>
    </row>
    <row r="431" spans="2:3" x14ac:dyDescent="0.3">
      <c r="B431" s="3">
        <v>866770</v>
      </c>
      <c r="C431">
        <v>1</v>
      </c>
    </row>
    <row r="432" spans="2:3" x14ac:dyDescent="0.3">
      <c r="B432" s="3">
        <v>866889</v>
      </c>
      <c r="C432">
        <v>1</v>
      </c>
    </row>
    <row r="433" spans="2:3" x14ac:dyDescent="0.3">
      <c r="B433" s="3">
        <v>869806</v>
      </c>
      <c r="C433">
        <v>1</v>
      </c>
    </row>
    <row r="434" spans="2:3" x14ac:dyDescent="0.3">
      <c r="B434" s="3">
        <v>870440</v>
      </c>
      <c r="C434">
        <v>1</v>
      </c>
    </row>
    <row r="435" spans="2:3" x14ac:dyDescent="0.3">
      <c r="B435" s="3">
        <v>870636</v>
      </c>
      <c r="C435">
        <v>1</v>
      </c>
    </row>
    <row r="436" spans="2:3" x14ac:dyDescent="0.3">
      <c r="B436" s="3">
        <v>870934</v>
      </c>
      <c r="C436">
        <v>1</v>
      </c>
    </row>
    <row r="437" spans="2:3" x14ac:dyDescent="0.3">
      <c r="B437" s="3">
        <v>875642</v>
      </c>
      <c r="C437">
        <v>1</v>
      </c>
    </row>
    <row r="438" spans="2:3" x14ac:dyDescent="0.3">
      <c r="B438" s="3">
        <v>876150</v>
      </c>
      <c r="C438">
        <v>1</v>
      </c>
    </row>
    <row r="439" spans="2:3" x14ac:dyDescent="0.3">
      <c r="B439" s="3">
        <v>877399</v>
      </c>
      <c r="C439">
        <v>1</v>
      </c>
    </row>
    <row r="440" spans="2:3" x14ac:dyDescent="0.3">
      <c r="B440" s="3">
        <v>879301</v>
      </c>
      <c r="C440">
        <v>1</v>
      </c>
    </row>
    <row r="441" spans="2:3" x14ac:dyDescent="0.3">
      <c r="B441" s="3">
        <v>879380</v>
      </c>
      <c r="C441">
        <v>1</v>
      </c>
    </row>
    <row r="442" spans="2:3" x14ac:dyDescent="0.3">
      <c r="B442" s="3">
        <v>881741</v>
      </c>
      <c r="C442">
        <v>1</v>
      </c>
    </row>
    <row r="443" spans="2:3" x14ac:dyDescent="0.3">
      <c r="B443" s="3">
        <v>882387</v>
      </c>
      <c r="C443">
        <v>1</v>
      </c>
    </row>
    <row r="444" spans="2:3" x14ac:dyDescent="0.3">
      <c r="B444" s="3">
        <v>882580</v>
      </c>
      <c r="C444">
        <v>1</v>
      </c>
    </row>
    <row r="445" spans="2:3" x14ac:dyDescent="0.3">
      <c r="B445" s="3">
        <v>883947</v>
      </c>
      <c r="C445">
        <v>1</v>
      </c>
    </row>
    <row r="446" spans="2:3" x14ac:dyDescent="0.3">
      <c r="B446" s="3">
        <v>888086</v>
      </c>
      <c r="C446">
        <v>1</v>
      </c>
    </row>
    <row r="447" spans="2:3" x14ac:dyDescent="0.3">
      <c r="B447" s="3">
        <v>888870</v>
      </c>
      <c r="C447">
        <v>1</v>
      </c>
    </row>
    <row r="448" spans="2:3" x14ac:dyDescent="0.3">
      <c r="B448" s="3">
        <v>893415</v>
      </c>
      <c r="C448">
        <v>1</v>
      </c>
    </row>
    <row r="449" spans="2:3" x14ac:dyDescent="0.3">
      <c r="B449" s="3">
        <v>894189</v>
      </c>
      <c r="C449">
        <v>1</v>
      </c>
    </row>
    <row r="450" spans="2:3" x14ac:dyDescent="0.3">
      <c r="B450" s="3">
        <v>894517</v>
      </c>
      <c r="C450">
        <v>1</v>
      </c>
    </row>
    <row r="451" spans="2:3" x14ac:dyDescent="0.3">
      <c r="B451" s="3">
        <v>895736</v>
      </c>
      <c r="C451">
        <v>1</v>
      </c>
    </row>
    <row r="452" spans="2:3" x14ac:dyDescent="0.3">
      <c r="B452" s="3">
        <v>896301</v>
      </c>
      <c r="C452">
        <v>1</v>
      </c>
    </row>
    <row r="453" spans="2:3" x14ac:dyDescent="0.3">
      <c r="B453" s="3">
        <v>897276</v>
      </c>
      <c r="C453">
        <v>1</v>
      </c>
    </row>
    <row r="454" spans="2:3" x14ac:dyDescent="0.3">
      <c r="B454" s="3">
        <v>900676</v>
      </c>
      <c r="C454">
        <v>1</v>
      </c>
    </row>
    <row r="455" spans="2:3" x14ac:dyDescent="0.3">
      <c r="B455" s="3">
        <v>901380</v>
      </c>
      <c r="C455">
        <v>1</v>
      </c>
    </row>
    <row r="456" spans="2:3" x14ac:dyDescent="0.3">
      <c r="B456" s="3">
        <v>903080</v>
      </c>
      <c r="C456">
        <v>1</v>
      </c>
    </row>
    <row r="457" spans="2:3" x14ac:dyDescent="0.3">
      <c r="B457" s="3">
        <v>904317</v>
      </c>
      <c r="C457">
        <v>1</v>
      </c>
    </row>
    <row r="458" spans="2:3" x14ac:dyDescent="0.3">
      <c r="B458" s="3">
        <v>908804</v>
      </c>
      <c r="C458">
        <v>1</v>
      </c>
    </row>
    <row r="459" spans="2:3" x14ac:dyDescent="0.3">
      <c r="B459" s="3">
        <v>910508</v>
      </c>
      <c r="C459">
        <v>1</v>
      </c>
    </row>
    <row r="460" spans="2:3" x14ac:dyDescent="0.3">
      <c r="B460" s="3">
        <v>915152</v>
      </c>
      <c r="C460">
        <v>1</v>
      </c>
    </row>
    <row r="461" spans="2:3" x14ac:dyDescent="0.3">
      <c r="B461" s="3">
        <v>915727</v>
      </c>
      <c r="C461">
        <v>1</v>
      </c>
    </row>
    <row r="462" spans="2:3" x14ac:dyDescent="0.3">
      <c r="B462" s="3">
        <v>916141</v>
      </c>
      <c r="C462">
        <v>1</v>
      </c>
    </row>
    <row r="463" spans="2:3" x14ac:dyDescent="0.3">
      <c r="B463" s="3">
        <v>916524</v>
      </c>
      <c r="C463">
        <v>1</v>
      </c>
    </row>
    <row r="464" spans="2:3" x14ac:dyDescent="0.3">
      <c r="B464" s="3">
        <v>916955</v>
      </c>
      <c r="C464">
        <v>1</v>
      </c>
    </row>
    <row r="465" spans="2:3" x14ac:dyDescent="0.3">
      <c r="B465" s="3">
        <v>923020</v>
      </c>
      <c r="C465">
        <v>1</v>
      </c>
    </row>
    <row r="466" spans="2:3" x14ac:dyDescent="0.3">
      <c r="B466" s="3">
        <v>927818</v>
      </c>
      <c r="C466">
        <v>1</v>
      </c>
    </row>
    <row r="467" spans="2:3" x14ac:dyDescent="0.3">
      <c r="B467" s="3">
        <v>929089</v>
      </c>
      <c r="C467">
        <v>1</v>
      </c>
    </row>
    <row r="468" spans="2:3" x14ac:dyDescent="0.3">
      <c r="B468" s="3">
        <v>930330</v>
      </c>
      <c r="C468">
        <v>1</v>
      </c>
    </row>
    <row r="469" spans="2:3" x14ac:dyDescent="0.3">
      <c r="B469" s="3">
        <v>931835</v>
      </c>
      <c r="C469">
        <v>1</v>
      </c>
    </row>
    <row r="470" spans="2:3" x14ac:dyDescent="0.3">
      <c r="B470" s="3">
        <v>932665</v>
      </c>
      <c r="C470">
        <v>1</v>
      </c>
    </row>
    <row r="471" spans="2:3" x14ac:dyDescent="0.3">
      <c r="B471" s="3">
        <v>934360</v>
      </c>
      <c r="C471">
        <v>1</v>
      </c>
    </row>
    <row r="472" spans="2:3" x14ac:dyDescent="0.3">
      <c r="B472" s="3">
        <v>935158</v>
      </c>
      <c r="C472">
        <v>1</v>
      </c>
    </row>
    <row r="473" spans="2:3" x14ac:dyDescent="0.3">
      <c r="B473" s="3">
        <v>935644</v>
      </c>
      <c r="C473">
        <v>1</v>
      </c>
    </row>
    <row r="474" spans="2:3" x14ac:dyDescent="0.3">
      <c r="B474" s="3">
        <v>937519</v>
      </c>
      <c r="C474">
        <v>1</v>
      </c>
    </row>
    <row r="475" spans="2:3" x14ac:dyDescent="0.3">
      <c r="B475" s="3">
        <v>941406</v>
      </c>
      <c r="C475">
        <v>1</v>
      </c>
    </row>
    <row r="476" spans="2:3" x14ac:dyDescent="0.3">
      <c r="B476" s="3">
        <v>942595</v>
      </c>
      <c r="C476">
        <v>1</v>
      </c>
    </row>
    <row r="477" spans="2:3" x14ac:dyDescent="0.3">
      <c r="B477" s="3">
        <v>943899</v>
      </c>
      <c r="C477">
        <v>1</v>
      </c>
    </row>
    <row r="478" spans="2:3" x14ac:dyDescent="0.3">
      <c r="B478" s="3">
        <v>944525</v>
      </c>
      <c r="C478">
        <v>1</v>
      </c>
    </row>
    <row r="479" spans="2:3" x14ac:dyDescent="0.3">
      <c r="B479" s="3">
        <v>945035</v>
      </c>
      <c r="C479">
        <v>1</v>
      </c>
    </row>
    <row r="480" spans="2:3" x14ac:dyDescent="0.3">
      <c r="B480" s="3">
        <v>945657</v>
      </c>
      <c r="C480">
        <v>1</v>
      </c>
    </row>
    <row r="481" spans="2:3" x14ac:dyDescent="0.3">
      <c r="B481" s="3">
        <v>945986</v>
      </c>
      <c r="C481">
        <v>1</v>
      </c>
    </row>
    <row r="482" spans="2:3" x14ac:dyDescent="0.3">
      <c r="B482" s="3">
        <v>946247</v>
      </c>
      <c r="C482">
        <v>1</v>
      </c>
    </row>
    <row r="483" spans="2:3" x14ac:dyDescent="0.3">
      <c r="B483" s="3">
        <v>946300</v>
      </c>
      <c r="C483">
        <v>1</v>
      </c>
    </row>
    <row r="484" spans="2:3" x14ac:dyDescent="0.3">
      <c r="B484" s="3">
        <v>946700</v>
      </c>
      <c r="C484">
        <v>1</v>
      </c>
    </row>
    <row r="485" spans="2:3" x14ac:dyDescent="0.3">
      <c r="B485" s="3">
        <v>948408</v>
      </c>
      <c r="C485">
        <v>1</v>
      </c>
    </row>
    <row r="486" spans="2:3" x14ac:dyDescent="0.3">
      <c r="B486" s="3">
        <v>953804</v>
      </c>
      <c r="C486">
        <v>1</v>
      </c>
    </row>
    <row r="487" spans="2:3" x14ac:dyDescent="0.3">
      <c r="B487" s="3">
        <v>954780</v>
      </c>
      <c r="C487">
        <v>1</v>
      </c>
    </row>
    <row r="488" spans="2:3" x14ac:dyDescent="0.3">
      <c r="B488" s="3">
        <v>955248</v>
      </c>
      <c r="C488">
        <v>1</v>
      </c>
    </row>
    <row r="489" spans="2:3" x14ac:dyDescent="0.3">
      <c r="B489" s="3">
        <v>955961</v>
      </c>
      <c r="C489">
        <v>1</v>
      </c>
    </row>
    <row r="490" spans="2:3" x14ac:dyDescent="0.3">
      <c r="B490" s="3">
        <v>957981</v>
      </c>
      <c r="C490">
        <v>1</v>
      </c>
    </row>
    <row r="491" spans="2:3" x14ac:dyDescent="0.3">
      <c r="B491" s="3">
        <v>959323</v>
      </c>
      <c r="C491">
        <v>1</v>
      </c>
    </row>
    <row r="492" spans="2:3" x14ac:dyDescent="0.3">
      <c r="B492" s="3">
        <v>961459</v>
      </c>
      <c r="C492">
        <v>1</v>
      </c>
    </row>
    <row r="493" spans="2:3" x14ac:dyDescent="0.3">
      <c r="B493" s="3">
        <v>962182</v>
      </c>
      <c r="C493">
        <v>1</v>
      </c>
    </row>
    <row r="494" spans="2:3" x14ac:dyDescent="0.3">
      <c r="B494" s="3">
        <v>964477</v>
      </c>
      <c r="C494">
        <v>1</v>
      </c>
    </row>
    <row r="495" spans="2:3" x14ac:dyDescent="0.3">
      <c r="B495" s="3">
        <v>965955</v>
      </c>
      <c r="C495">
        <v>1</v>
      </c>
    </row>
    <row r="496" spans="2:3" x14ac:dyDescent="0.3">
      <c r="B496" s="3">
        <v>969262</v>
      </c>
      <c r="C496">
        <v>1</v>
      </c>
    </row>
    <row r="497" spans="2:3" x14ac:dyDescent="0.3">
      <c r="B497" s="3">
        <v>969821</v>
      </c>
      <c r="C497">
        <v>1</v>
      </c>
    </row>
    <row r="498" spans="2:3" x14ac:dyDescent="0.3">
      <c r="B498" s="3">
        <v>970064</v>
      </c>
      <c r="C498">
        <v>1</v>
      </c>
    </row>
    <row r="499" spans="2:3" x14ac:dyDescent="0.3">
      <c r="B499" s="3">
        <v>973241</v>
      </c>
      <c r="C499">
        <v>1</v>
      </c>
    </row>
    <row r="500" spans="2:3" x14ac:dyDescent="0.3">
      <c r="B500" s="3">
        <v>973339</v>
      </c>
      <c r="C500">
        <v>1</v>
      </c>
    </row>
    <row r="501" spans="2:3" x14ac:dyDescent="0.3">
      <c r="B501" s="3">
        <v>975319</v>
      </c>
      <c r="C501">
        <v>1</v>
      </c>
    </row>
    <row r="502" spans="2:3" x14ac:dyDescent="0.3">
      <c r="B502" s="3">
        <v>977193</v>
      </c>
      <c r="C502">
        <v>1</v>
      </c>
    </row>
    <row r="503" spans="2:3" x14ac:dyDescent="0.3">
      <c r="B503" s="3">
        <v>978283</v>
      </c>
      <c r="C503">
        <v>1</v>
      </c>
    </row>
    <row r="504" spans="2:3" x14ac:dyDescent="0.3">
      <c r="B504" s="3">
        <v>978548</v>
      </c>
      <c r="C504">
        <v>1</v>
      </c>
    </row>
    <row r="505" spans="2:3" x14ac:dyDescent="0.3">
      <c r="B505" s="3">
        <v>980642</v>
      </c>
      <c r="C505">
        <v>1</v>
      </c>
    </row>
    <row r="506" spans="2:3" x14ac:dyDescent="0.3">
      <c r="B506" s="3">
        <v>981665</v>
      </c>
      <c r="C506">
        <v>1</v>
      </c>
    </row>
    <row r="507" spans="2:3" x14ac:dyDescent="0.3">
      <c r="B507" s="3">
        <v>981915</v>
      </c>
      <c r="C507">
        <v>1</v>
      </c>
    </row>
    <row r="508" spans="2:3" x14ac:dyDescent="0.3">
      <c r="B508" s="3">
        <v>982731</v>
      </c>
      <c r="C508">
        <v>1</v>
      </c>
    </row>
    <row r="509" spans="2:3" x14ac:dyDescent="0.3">
      <c r="B509" s="3">
        <v>985381</v>
      </c>
      <c r="C509">
        <v>1</v>
      </c>
    </row>
    <row r="510" spans="2:3" x14ac:dyDescent="0.3">
      <c r="B510" s="3">
        <v>987879</v>
      </c>
      <c r="C510">
        <v>1</v>
      </c>
    </row>
    <row r="511" spans="2:3" x14ac:dyDescent="0.3">
      <c r="B511" s="3">
        <v>989374</v>
      </c>
      <c r="C511">
        <v>1</v>
      </c>
    </row>
    <row r="512" spans="2:3" x14ac:dyDescent="0.3">
      <c r="B512" s="3">
        <v>989898</v>
      </c>
      <c r="C512">
        <v>1</v>
      </c>
    </row>
    <row r="513" spans="2:3" x14ac:dyDescent="0.3">
      <c r="B513" s="3">
        <v>990194</v>
      </c>
      <c r="C513">
        <v>1</v>
      </c>
    </row>
    <row r="514" spans="2:3" x14ac:dyDescent="0.3">
      <c r="B514" s="3">
        <v>990243</v>
      </c>
      <c r="C514">
        <v>1</v>
      </c>
    </row>
    <row r="515" spans="2:3" x14ac:dyDescent="0.3">
      <c r="B515" s="3">
        <v>994371</v>
      </c>
      <c r="C515">
        <v>1</v>
      </c>
    </row>
    <row r="516" spans="2:3" x14ac:dyDescent="0.3">
      <c r="B516" s="3">
        <v>995453</v>
      </c>
      <c r="C516">
        <v>1</v>
      </c>
    </row>
    <row r="517" spans="2:3" x14ac:dyDescent="0.3">
      <c r="B517" s="3">
        <v>999369</v>
      </c>
      <c r="C517">
        <v>1</v>
      </c>
    </row>
    <row r="518" spans="2:3" x14ac:dyDescent="0.3">
      <c r="B518" s="3" t="s">
        <v>1091</v>
      </c>
      <c r="C518">
        <v>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topLeftCell="D1" zoomScale="93" workbookViewId="0">
      <selection activeCell="D12" sqref="D12"/>
    </sheetView>
  </sheetViews>
  <sheetFormatPr defaultColWidth="14.44140625" defaultRowHeight="15" customHeight="1" x14ac:dyDescent="0.3"/>
  <cols>
    <col min="1" max="1" width="14.88671875" customWidth="1"/>
    <col min="2" max="2" width="13.5546875" customWidth="1"/>
    <col min="3" max="3" width="16.5546875" customWidth="1"/>
    <col min="4" max="4" width="17.21875" customWidth="1"/>
    <col min="5" max="6" width="8.6640625" customWidth="1"/>
    <col min="7" max="7" width="14.21875" customWidth="1"/>
    <col min="8" max="8" width="14.44140625" customWidth="1"/>
    <col min="9" max="9" width="17.21875" customWidth="1"/>
    <col min="10" max="10" width="20" style="4" customWidth="1"/>
    <col min="11" max="11" width="15.88671875" customWidth="1"/>
    <col min="12" max="12" width="17.109375" style="1" customWidth="1"/>
    <col min="13" max="13" width="18.33203125" customWidth="1"/>
    <col min="14" max="14" width="17.6640625" style="4" customWidth="1"/>
    <col min="15" max="15" width="9.5546875" customWidth="1"/>
    <col min="16" max="16" width="13.21875" customWidth="1"/>
    <col min="17" max="26" width="8.6640625" customWidth="1"/>
  </cols>
  <sheetData>
    <row r="1" spans="1:16" ht="14.4" x14ac:dyDescent="0.3">
      <c r="A1" t="s">
        <v>0</v>
      </c>
      <c r="B1" t="s">
        <v>1</v>
      </c>
      <c r="C1" t="s">
        <v>2</v>
      </c>
      <c r="D1" t="s">
        <v>3</v>
      </c>
      <c r="E1" t="s">
        <v>4</v>
      </c>
      <c r="F1" t="s">
        <v>5</v>
      </c>
      <c r="G1" t="s">
        <v>6</v>
      </c>
      <c r="H1" t="s">
        <v>7</v>
      </c>
      <c r="I1" t="s">
        <v>8</v>
      </c>
      <c r="J1" s="4" t="s">
        <v>9</v>
      </c>
      <c r="K1" t="s">
        <v>10</v>
      </c>
      <c r="L1" s="1" t="s">
        <v>11</v>
      </c>
      <c r="M1" t="s">
        <v>12</v>
      </c>
      <c r="N1" s="4" t="s">
        <v>13</v>
      </c>
      <c r="O1" t="s">
        <v>14</v>
      </c>
      <c r="P1" t="s">
        <v>15</v>
      </c>
    </row>
    <row r="2" spans="1:16" ht="14.4" x14ac:dyDescent="0.3">
      <c r="A2" t="s">
        <v>16</v>
      </c>
      <c r="B2">
        <v>989374</v>
      </c>
      <c r="C2" t="s">
        <v>17</v>
      </c>
      <c r="D2">
        <v>748642976223</v>
      </c>
      <c r="E2" t="s">
        <v>18</v>
      </c>
      <c r="F2" t="s">
        <v>19</v>
      </c>
      <c r="G2" t="s">
        <v>37</v>
      </c>
      <c r="H2" t="s">
        <v>21</v>
      </c>
      <c r="I2" t="s">
        <v>22</v>
      </c>
      <c r="J2" s="4">
        <v>596395.99</v>
      </c>
      <c r="K2" t="s">
        <v>23</v>
      </c>
      <c r="L2" s="1">
        <v>45756</v>
      </c>
      <c r="M2" t="s">
        <v>24</v>
      </c>
      <c r="N2" s="4">
        <v>2330149</v>
      </c>
      <c r="O2" t="s">
        <v>25</v>
      </c>
      <c r="P2" t="str">
        <f>TEXT(L2,"yyyy-mm")</f>
        <v>2025-04</v>
      </c>
    </row>
    <row r="3" spans="1:16" ht="14.4" x14ac:dyDescent="0.3">
      <c r="A3" t="s">
        <v>26</v>
      </c>
      <c r="B3">
        <v>945035</v>
      </c>
      <c r="C3" t="s">
        <v>27</v>
      </c>
      <c r="D3">
        <v>163745963749</v>
      </c>
      <c r="E3" t="s">
        <v>28</v>
      </c>
      <c r="F3" t="s">
        <v>29</v>
      </c>
      <c r="G3" t="s">
        <v>37</v>
      </c>
      <c r="H3" t="s">
        <v>31</v>
      </c>
      <c r="I3" t="s">
        <v>22</v>
      </c>
      <c r="J3" s="4">
        <v>590927.39</v>
      </c>
      <c r="K3" t="s">
        <v>32</v>
      </c>
      <c r="L3" s="1">
        <v>45228</v>
      </c>
      <c r="M3" t="s">
        <v>24</v>
      </c>
      <c r="N3" s="4">
        <v>1668521.67</v>
      </c>
      <c r="O3" t="s">
        <v>25</v>
      </c>
      <c r="P3" t="str">
        <f t="shared" ref="P3:P66" si="0">TEXT(L3,"yyyy-mm")</f>
        <v>2023-10</v>
      </c>
    </row>
    <row r="4" spans="1:16" ht="14.4" x14ac:dyDescent="0.3">
      <c r="A4" t="s">
        <v>33</v>
      </c>
      <c r="B4">
        <v>934360</v>
      </c>
      <c r="C4" t="s">
        <v>34</v>
      </c>
      <c r="D4">
        <v>193406494234</v>
      </c>
      <c r="E4" t="s">
        <v>35</v>
      </c>
      <c r="F4" t="s">
        <v>36</v>
      </c>
      <c r="G4" t="s">
        <v>37</v>
      </c>
      <c r="H4" t="s">
        <v>21</v>
      </c>
      <c r="I4" t="s">
        <v>38</v>
      </c>
      <c r="J4" s="4">
        <v>585632.02</v>
      </c>
      <c r="K4" t="s">
        <v>39</v>
      </c>
      <c r="L4" s="1">
        <v>45373</v>
      </c>
      <c r="M4" t="s">
        <v>24</v>
      </c>
      <c r="N4" s="4">
        <v>853196.4800000001</v>
      </c>
      <c r="O4" t="s">
        <v>25</v>
      </c>
      <c r="P4" t="str">
        <f t="shared" si="0"/>
        <v>2024-03</v>
      </c>
    </row>
    <row r="5" spans="1:16" ht="14.4" x14ac:dyDescent="0.3">
      <c r="A5" t="s">
        <v>40</v>
      </c>
      <c r="B5">
        <v>570696</v>
      </c>
      <c r="C5" t="s">
        <v>41</v>
      </c>
      <c r="D5">
        <v>170817762643</v>
      </c>
      <c r="E5" t="s">
        <v>35</v>
      </c>
      <c r="F5" t="s">
        <v>42</v>
      </c>
      <c r="G5" t="s">
        <v>37</v>
      </c>
      <c r="H5" t="s">
        <v>31</v>
      </c>
      <c r="I5" t="s">
        <v>22</v>
      </c>
      <c r="J5" s="4">
        <v>584071.86</v>
      </c>
      <c r="K5" t="s">
        <v>23</v>
      </c>
      <c r="L5" s="1">
        <v>45646</v>
      </c>
      <c r="M5" t="s">
        <v>24</v>
      </c>
      <c r="N5" s="4">
        <v>926115.91999999993</v>
      </c>
      <c r="O5" t="s">
        <v>25</v>
      </c>
      <c r="P5" t="str">
        <f t="shared" si="0"/>
        <v>2024-12</v>
      </c>
    </row>
    <row r="6" spans="1:16" ht="14.4" x14ac:dyDescent="0.3">
      <c r="A6" t="s">
        <v>44</v>
      </c>
      <c r="B6">
        <v>975319</v>
      </c>
      <c r="C6" t="s">
        <v>45</v>
      </c>
      <c r="D6">
        <v>319075165406</v>
      </c>
      <c r="E6" t="s">
        <v>18</v>
      </c>
      <c r="F6" t="s">
        <v>46</v>
      </c>
      <c r="G6" t="s">
        <v>37</v>
      </c>
      <c r="H6" t="s">
        <v>21</v>
      </c>
      <c r="I6" t="s">
        <v>48</v>
      </c>
      <c r="J6" s="4">
        <v>580253.53</v>
      </c>
      <c r="K6" t="s">
        <v>49</v>
      </c>
      <c r="L6" s="1">
        <v>45506</v>
      </c>
      <c r="M6" t="s">
        <v>50</v>
      </c>
      <c r="N6" s="4">
        <v>534430.57999999996</v>
      </c>
      <c r="O6" t="s">
        <v>25</v>
      </c>
      <c r="P6" t="str">
        <f t="shared" si="0"/>
        <v>2024-08</v>
      </c>
    </row>
    <row r="7" spans="1:16" ht="14.4" x14ac:dyDescent="0.3">
      <c r="A7" t="s">
        <v>51</v>
      </c>
      <c r="B7">
        <v>895736</v>
      </c>
      <c r="C7" t="s">
        <v>52</v>
      </c>
      <c r="D7">
        <v>253605159009</v>
      </c>
      <c r="E7" t="s">
        <v>18</v>
      </c>
      <c r="F7" t="s">
        <v>46</v>
      </c>
      <c r="G7" t="s">
        <v>37</v>
      </c>
      <c r="H7" t="s">
        <v>31</v>
      </c>
      <c r="I7" t="s">
        <v>53</v>
      </c>
      <c r="J7" s="4">
        <v>578105.66</v>
      </c>
      <c r="K7" t="s">
        <v>49</v>
      </c>
      <c r="L7" s="1">
        <v>45453</v>
      </c>
      <c r="M7" t="s">
        <v>24</v>
      </c>
      <c r="N7" s="4">
        <v>2011952.25</v>
      </c>
      <c r="O7" t="s">
        <v>25</v>
      </c>
      <c r="P7" t="str">
        <f t="shared" si="0"/>
        <v>2024-06</v>
      </c>
    </row>
    <row r="8" spans="1:16" ht="14.4" x14ac:dyDescent="0.3">
      <c r="A8" t="s">
        <v>54</v>
      </c>
      <c r="B8">
        <v>390841</v>
      </c>
      <c r="C8" t="s">
        <v>55</v>
      </c>
      <c r="D8">
        <v>945930618441</v>
      </c>
      <c r="E8" t="s">
        <v>18</v>
      </c>
      <c r="F8" t="s">
        <v>56</v>
      </c>
      <c r="G8" t="s">
        <v>37</v>
      </c>
      <c r="H8" t="s">
        <v>21</v>
      </c>
      <c r="I8" t="s">
        <v>53</v>
      </c>
      <c r="J8" s="4">
        <v>570945.16</v>
      </c>
      <c r="K8" t="s">
        <v>39</v>
      </c>
      <c r="L8" s="1">
        <v>45577</v>
      </c>
      <c r="M8" t="s">
        <v>24</v>
      </c>
      <c r="N8" s="4">
        <v>1713155.09</v>
      </c>
      <c r="O8" t="s">
        <v>25</v>
      </c>
      <c r="P8" t="str">
        <f t="shared" si="0"/>
        <v>2024-10</v>
      </c>
    </row>
    <row r="9" spans="1:16" ht="14.4" x14ac:dyDescent="0.3">
      <c r="A9" t="s">
        <v>58</v>
      </c>
      <c r="B9">
        <v>538077</v>
      </c>
      <c r="C9" t="s">
        <v>59</v>
      </c>
      <c r="D9">
        <v>960946735259</v>
      </c>
      <c r="E9" t="s">
        <v>35</v>
      </c>
      <c r="F9" t="s">
        <v>60</v>
      </c>
      <c r="G9" t="s">
        <v>37</v>
      </c>
      <c r="H9" t="s">
        <v>31</v>
      </c>
      <c r="I9" t="s">
        <v>22</v>
      </c>
      <c r="J9" s="4">
        <v>556413.30000000005</v>
      </c>
      <c r="K9" t="s">
        <v>49</v>
      </c>
      <c r="L9" s="1">
        <v>45436</v>
      </c>
      <c r="M9" t="s">
        <v>24</v>
      </c>
      <c r="N9" s="4">
        <v>1053966.8899999999</v>
      </c>
      <c r="O9" t="s">
        <v>25</v>
      </c>
      <c r="P9" t="str">
        <f t="shared" si="0"/>
        <v>2024-05</v>
      </c>
    </row>
    <row r="10" spans="1:16" ht="14.4" x14ac:dyDescent="0.3">
      <c r="A10" t="s">
        <v>62</v>
      </c>
      <c r="B10">
        <v>536413</v>
      </c>
      <c r="C10" t="s">
        <v>63</v>
      </c>
      <c r="D10">
        <v>920065850736</v>
      </c>
      <c r="E10" t="s">
        <v>64</v>
      </c>
      <c r="F10" t="s">
        <v>65</v>
      </c>
      <c r="G10" t="s">
        <v>37</v>
      </c>
      <c r="H10" t="s">
        <v>67</v>
      </c>
      <c r="I10" t="s">
        <v>22</v>
      </c>
      <c r="J10" s="4">
        <v>541143.80000000005</v>
      </c>
      <c r="K10" t="s">
        <v>32</v>
      </c>
      <c r="L10" s="1">
        <v>45531</v>
      </c>
      <c r="M10" t="s">
        <v>24</v>
      </c>
      <c r="N10" s="4">
        <v>2242547.87</v>
      </c>
      <c r="O10" t="s">
        <v>25</v>
      </c>
      <c r="P10" t="str">
        <f t="shared" si="0"/>
        <v>2024-08</v>
      </c>
    </row>
    <row r="11" spans="1:16" ht="14.4" x14ac:dyDescent="0.3">
      <c r="A11" t="s">
        <v>68</v>
      </c>
      <c r="B11">
        <v>706008</v>
      </c>
      <c r="C11" t="s">
        <v>69</v>
      </c>
      <c r="D11">
        <v>246399826650</v>
      </c>
      <c r="E11" t="s">
        <v>18</v>
      </c>
      <c r="F11" t="s">
        <v>56</v>
      </c>
      <c r="G11" t="s">
        <v>37</v>
      </c>
      <c r="H11" t="s">
        <v>70</v>
      </c>
      <c r="I11" t="s">
        <v>48</v>
      </c>
      <c r="J11" s="4">
        <v>540827.56000000006</v>
      </c>
      <c r="K11" t="s">
        <v>32</v>
      </c>
      <c r="L11" s="1">
        <v>45273</v>
      </c>
      <c r="M11" t="s">
        <v>24</v>
      </c>
      <c r="N11" s="4">
        <v>1766313.5</v>
      </c>
      <c r="O11" t="s">
        <v>25</v>
      </c>
      <c r="P11" t="str">
        <f t="shared" si="0"/>
        <v>2023-12</v>
      </c>
    </row>
    <row r="12" spans="1:16" ht="14.4" x14ac:dyDescent="0.3">
      <c r="A12" t="s">
        <v>71</v>
      </c>
      <c r="B12">
        <v>615941</v>
      </c>
      <c r="C12" t="s">
        <v>72</v>
      </c>
      <c r="D12">
        <v>269059820502</v>
      </c>
      <c r="E12" t="s">
        <v>35</v>
      </c>
      <c r="F12" t="s">
        <v>73</v>
      </c>
      <c r="G12" t="s">
        <v>37</v>
      </c>
      <c r="H12" t="s">
        <v>67</v>
      </c>
      <c r="I12" t="s">
        <v>22</v>
      </c>
      <c r="J12" s="4">
        <v>538363.37</v>
      </c>
      <c r="K12" t="s">
        <v>49</v>
      </c>
      <c r="L12" s="1">
        <v>45121</v>
      </c>
      <c r="M12" t="s">
        <v>24</v>
      </c>
      <c r="N12" s="4">
        <v>836675.46</v>
      </c>
      <c r="O12" t="s">
        <v>25</v>
      </c>
      <c r="P12" t="str">
        <f t="shared" si="0"/>
        <v>2023-07</v>
      </c>
    </row>
    <row r="13" spans="1:16" ht="14.4" x14ac:dyDescent="0.3">
      <c r="A13" t="s">
        <v>75</v>
      </c>
      <c r="B13">
        <v>565614</v>
      </c>
      <c r="C13" t="s">
        <v>76</v>
      </c>
      <c r="D13">
        <v>682739590821</v>
      </c>
      <c r="E13" t="s">
        <v>35</v>
      </c>
      <c r="F13" t="s">
        <v>36</v>
      </c>
      <c r="G13" t="s">
        <v>37</v>
      </c>
      <c r="H13" t="s">
        <v>21</v>
      </c>
      <c r="I13" t="s">
        <v>22</v>
      </c>
      <c r="J13" s="4">
        <v>526549.79</v>
      </c>
      <c r="K13" t="s">
        <v>39</v>
      </c>
      <c r="L13" s="1">
        <v>45485</v>
      </c>
      <c r="M13" t="s">
        <v>50</v>
      </c>
      <c r="N13" s="4">
        <v>1552234.03</v>
      </c>
      <c r="O13" t="s">
        <v>25</v>
      </c>
      <c r="P13" t="str">
        <f t="shared" si="0"/>
        <v>2024-07</v>
      </c>
    </row>
    <row r="14" spans="1:16" ht="14.4" x14ac:dyDescent="0.3">
      <c r="A14" t="s">
        <v>77</v>
      </c>
      <c r="B14">
        <v>161024</v>
      </c>
      <c r="C14" t="s">
        <v>78</v>
      </c>
      <c r="D14">
        <v>257920784326</v>
      </c>
      <c r="E14" t="s">
        <v>28</v>
      </c>
      <c r="F14" t="s">
        <v>79</v>
      </c>
      <c r="G14" t="s">
        <v>37</v>
      </c>
      <c r="H14" t="s">
        <v>31</v>
      </c>
      <c r="I14" t="s">
        <v>22</v>
      </c>
      <c r="J14" s="4">
        <v>525074.59</v>
      </c>
      <c r="K14" t="s">
        <v>32</v>
      </c>
      <c r="L14" s="1">
        <v>45243</v>
      </c>
      <c r="M14" t="s">
        <v>24</v>
      </c>
      <c r="N14" s="4">
        <v>2235418.34</v>
      </c>
      <c r="O14" t="s">
        <v>25</v>
      </c>
      <c r="P14" t="str">
        <f t="shared" si="0"/>
        <v>2023-11</v>
      </c>
    </row>
    <row r="15" spans="1:16" ht="14.4" x14ac:dyDescent="0.3">
      <c r="A15" t="s">
        <v>81</v>
      </c>
      <c r="B15">
        <v>915727</v>
      </c>
      <c r="C15" t="s">
        <v>82</v>
      </c>
      <c r="D15">
        <v>866173303309</v>
      </c>
      <c r="E15" t="s">
        <v>64</v>
      </c>
      <c r="F15" t="s">
        <v>83</v>
      </c>
      <c r="G15" t="s">
        <v>37</v>
      </c>
      <c r="H15" t="s">
        <v>70</v>
      </c>
      <c r="I15" t="s">
        <v>48</v>
      </c>
      <c r="J15" s="4">
        <v>520051.76</v>
      </c>
      <c r="K15" t="s">
        <v>23</v>
      </c>
      <c r="L15" s="1">
        <v>45837</v>
      </c>
      <c r="M15" t="s">
        <v>24</v>
      </c>
      <c r="N15" s="4">
        <v>900185.58000000007</v>
      </c>
      <c r="O15" t="s">
        <v>25</v>
      </c>
      <c r="P15" t="str">
        <f t="shared" si="0"/>
        <v>2025-06</v>
      </c>
    </row>
    <row r="16" spans="1:16" ht="14.4" x14ac:dyDescent="0.3">
      <c r="A16" t="s">
        <v>85</v>
      </c>
      <c r="B16">
        <v>330649</v>
      </c>
      <c r="C16" t="s">
        <v>86</v>
      </c>
      <c r="D16">
        <v>725385591832</v>
      </c>
      <c r="E16" t="s">
        <v>18</v>
      </c>
      <c r="F16" t="s">
        <v>87</v>
      </c>
      <c r="G16" t="s">
        <v>37</v>
      </c>
      <c r="H16" t="s">
        <v>67</v>
      </c>
      <c r="I16" t="s">
        <v>22</v>
      </c>
      <c r="J16" s="4">
        <v>512577</v>
      </c>
      <c r="K16" t="s">
        <v>32</v>
      </c>
      <c r="L16" s="1">
        <v>45158</v>
      </c>
      <c r="M16" t="s">
        <v>24</v>
      </c>
      <c r="N16" s="4">
        <v>2296120.29</v>
      </c>
      <c r="O16" t="s">
        <v>25</v>
      </c>
      <c r="P16" t="str">
        <f t="shared" si="0"/>
        <v>2023-08</v>
      </c>
    </row>
    <row r="17" spans="1:16" ht="14.4" x14ac:dyDescent="0.3">
      <c r="A17" t="s">
        <v>89</v>
      </c>
      <c r="B17">
        <v>128757</v>
      </c>
      <c r="C17" t="s">
        <v>90</v>
      </c>
      <c r="D17">
        <v>129825978524</v>
      </c>
      <c r="E17" t="s">
        <v>91</v>
      </c>
      <c r="F17" t="s">
        <v>92</v>
      </c>
      <c r="G17" t="s">
        <v>37</v>
      </c>
      <c r="H17" t="s">
        <v>21</v>
      </c>
      <c r="I17" t="s">
        <v>48</v>
      </c>
      <c r="J17" s="4">
        <v>511661.67</v>
      </c>
      <c r="K17" t="s">
        <v>49</v>
      </c>
      <c r="L17" s="1">
        <v>45394</v>
      </c>
      <c r="M17" t="s">
        <v>24</v>
      </c>
      <c r="N17" s="4">
        <v>1836585.45</v>
      </c>
      <c r="O17" t="s">
        <v>25</v>
      </c>
      <c r="P17" t="str">
        <f t="shared" si="0"/>
        <v>2024-04</v>
      </c>
    </row>
    <row r="18" spans="1:16" ht="14.4" x14ac:dyDescent="0.3">
      <c r="A18" t="s">
        <v>94</v>
      </c>
      <c r="B18">
        <v>565942</v>
      </c>
      <c r="C18" t="s">
        <v>95</v>
      </c>
      <c r="D18">
        <v>154877991245</v>
      </c>
      <c r="E18" t="s">
        <v>35</v>
      </c>
      <c r="F18" t="s">
        <v>60</v>
      </c>
      <c r="G18" t="s">
        <v>37</v>
      </c>
      <c r="H18" t="s">
        <v>31</v>
      </c>
      <c r="I18" t="s">
        <v>53</v>
      </c>
      <c r="J18" s="4">
        <v>505150.86</v>
      </c>
      <c r="K18" t="s">
        <v>49</v>
      </c>
      <c r="L18" s="1">
        <v>45328</v>
      </c>
      <c r="M18" t="s">
        <v>24</v>
      </c>
      <c r="N18" s="4">
        <v>2037513.89</v>
      </c>
      <c r="O18" t="s">
        <v>25</v>
      </c>
      <c r="P18" t="str">
        <f t="shared" si="0"/>
        <v>2024-02</v>
      </c>
    </row>
    <row r="19" spans="1:16" ht="14.4" x14ac:dyDescent="0.3">
      <c r="A19" t="s">
        <v>96</v>
      </c>
      <c r="B19">
        <v>367162</v>
      </c>
      <c r="C19" t="s">
        <v>97</v>
      </c>
      <c r="D19">
        <v>246576120553</v>
      </c>
      <c r="E19" t="s">
        <v>28</v>
      </c>
      <c r="F19" t="s">
        <v>79</v>
      </c>
      <c r="G19" t="s">
        <v>37</v>
      </c>
      <c r="H19" t="s">
        <v>21</v>
      </c>
      <c r="I19" t="s">
        <v>48</v>
      </c>
      <c r="J19" s="4">
        <v>500321.81</v>
      </c>
      <c r="K19" t="s">
        <v>98</v>
      </c>
      <c r="L19" s="1">
        <v>45452</v>
      </c>
      <c r="M19" t="s">
        <v>24</v>
      </c>
      <c r="N19" s="4">
        <v>2140324.83</v>
      </c>
      <c r="O19" t="s">
        <v>25</v>
      </c>
      <c r="P19" t="str">
        <f t="shared" si="0"/>
        <v>2024-06</v>
      </c>
    </row>
    <row r="20" spans="1:16" ht="14.4" x14ac:dyDescent="0.3">
      <c r="A20" t="s">
        <v>99</v>
      </c>
      <c r="B20">
        <v>107172</v>
      </c>
      <c r="C20" t="s">
        <v>100</v>
      </c>
      <c r="D20">
        <v>475789086915</v>
      </c>
      <c r="E20" t="s">
        <v>35</v>
      </c>
      <c r="F20" t="s">
        <v>42</v>
      </c>
      <c r="G20" t="s">
        <v>37</v>
      </c>
      <c r="H20" t="s">
        <v>31</v>
      </c>
      <c r="I20" t="s">
        <v>48</v>
      </c>
      <c r="J20" s="4">
        <v>498951.58</v>
      </c>
      <c r="K20" t="s">
        <v>49</v>
      </c>
      <c r="L20" s="1">
        <v>45517</v>
      </c>
      <c r="M20" t="s">
        <v>24</v>
      </c>
      <c r="N20" s="4">
        <v>1704438.38</v>
      </c>
      <c r="O20" t="s">
        <v>25</v>
      </c>
      <c r="P20" t="str">
        <f t="shared" si="0"/>
        <v>2024-08</v>
      </c>
    </row>
    <row r="21" spans="1:16" ht="15.75" customHeight="1" x14ac:dyDescent="0.3">
      <c r="A21" t="s">
        <v>101</v>
      </c>
      <c r="B21">
        <v>792128</v>
      </c>
      <c r="C21" t="s">
        <v>102</v>
      </c>
      <c r="D21">
        <v>421404337824</v>
      </c>
      <c r="E21" t="s">
        <v>18</v>
      </c>
      <c r="F21" t="s">
        <v>46</v>
      </c>
      <c r="G21" t="s">
        <v>37</v>
      </c>
      <c r="H21" t="s">
        <v>31</v>
      </c>
      <c r="I21" t="s">
        <v>38</v>
      </c>
      <c r="J21" s="4">
        <v>498754.84</v>
      </c>
      <c r="K21" t="s">
        <v>32</v>
      </c>
      <c r="L21" s="1">
        <v>45614</v>
      </c>
      <c r="M21" t="s">
        <v>24</v>
      </c>
      <c r="N21" s="4">
        <v>1407474.11</v>
      </c>
      <c r="O21" t="s">
        <v>25</v>
      </c>
      <c r="P21" t="str">
        <f t="shared" si="0"/>
        <v>2024-11</v>
      </c>
    </row>
    <row r="22" spans="1:16" ht="15.75" customHeight="1" x14ac:dyDescent="0.3">
      <c r="A22" t="s">
        <v>103</v>
      </c>
      <c r="B22">
        <v>901380</v>
      </c>
      <c r="C22" t="s">
        <v>104</v>
      </c>
      <c r="D22">
        <v>399559926548</v>
      </c>
      <c r="E22" t="s">
        <v>91</v>
      </c>
      <c r="F22" t="s">
        <v>105</v>
      </c>
      <c r="G22" t="s">
        <v>37</v>
      </c>
      <c r="H22" t="s">
        <v>21</v>
      </c>
      <c r="I22" t="s">
        <v>38</v>
      </c>
      <c r="J22" s="4">
        <v>497985.44</v>
      </c>
      <c r="K22" t="s">
        <v>98</v>
      </c>
      <c r="L22" s="1">
        <v>45695</v>
      </c>
      <c r="M22" t="s">
        <v>24</v>
      </c>
      <c r="N22" s="4">
        <v>473505.78</v>
      </c>
      <c r="O22" t="s">
        <v>25</v>
      </c>
      <c r="P22" t="str">
        <f t="shared" si="0"/>
        <v>2025-02</v>
      </c>
    </row>
    <row r="23" spans="1:16" ht="15.75" customHeight="1" x14ac:dyDescent="0.3">
      <c r="A23" t="s">
        <v>107</v>
      </c>
      <c r="B23">
        <v>877399</v>
      </c>
      <c r="C23" t="s">
        <v>108</v>
      </c>
      <c r="D23">
        <v>964797210985</v>
      </c>
      <c r="E23" t="s">
        <v>91</v>
      </c>
      <c r="F23" t="s">
        <v>109</v>
      </c>
      <c r="G23" t="s">
        <v>37</v>
      </c>
      <c r="H23" t="s">
        <v>21</v>
      </c>
      <c r="I23" t="s">
        <v>53</v>
      </c>
      <c r="J23" s="4">
        <v>496927.6</v>
      </c>
      <c r="K23" t="s">
        <v>98</v>
      </c>
      <c r="L23" s="1">
        <v>45725</v>
      </c>
      <c r="M23" t="s">
        <v>24</v>
      </c>
      <c r="N23" s="4">
        <v>1834945.27</v>
      </c>
      <c r="O23" t="s">
        <v>25</v>
      </c>
      <c r="P23" t="str">
        <f t="shared" si="0"/>
        <v>2025-03</v>
      </c>
    </row>
    <row r="24" spans="1:16" ht="15.75" customHeight="1" x14ac:dyDescent="0.3">
      <c r="A24" t="s">
        <v>111</v>
      </c>
      <c r="B24">
        <v>268498</v>
      </c>
      <c r="C24" t="s">
        <v>112</v>
      </c>
      <c r="D24">
        <v>371376739219</v>
      </c>
      <c r="E24" t="s">
        <v>64</v>
      </c>
      <c r="F24" t="s">
        <v>83</v>
      </c>
      <c r="G24" t="s">
        <v>37</v>
      </c>
      <c r="H24" t="s">
        <v>21</v>
      </c>
      <c r="I24" t="s">
        <v>53</v>
      </c>
      <c r="J24" s="4">
        <v>491742.99</v>
      </c>
      <c r="K24" t="s">
        <v>49</v>
      </c>
      <c r="L24" s="1">
        <v>45570</v>
      </c>
      <c r="M24" t="s">
        <v>113</v>
      </c>
      <c r="N24" s="4">
        <v>1056408.71</v>
      </c>
      <c r="O24" t="s">
        <v>25</v>
      </c>
      <c r="P24" t="str">
        <f t="shared" si="0"/>
        <v>2024-10</v>
      </c>
    </row>
    <row r="25" spans="1:16" ht="15.75" customHeight="1" x14ac:dyDescent="0.3">
      <c r="A25" t="s">
        <v>114</v>
      </c>
      <c r="B25">
        <v>509182</v>
      </c>
      <c r="C25" t="s">
        <v>115</v>
      </c>
      <c r="D25">
        <v>290112954278</v>
      </c>
      <c r="E25" t="s">
        <v>64</v>
      </c>
      <c r="F25" t="s">
        <v>65</v>
      </c>
      <c r="G25" t="s">
        <v>37</v>
      </c>
      <c r="H25" t="s">
        <v>21</v>
      </c>
      <c r="I25" t="s">
        <v>53</v>
      </c>
      <c r="J25" s="4">
        <v>489850.94</v>
      </c>
      <c r="K25" t="s">
        <v>98</v>
      </c>
      <c r="L25" s="1">
        <v>45651</v>
      </c>
      <c r="M25" t="s">
        <v>24</v>
      </c>
      <c r="N25" s="4">
        <v>540147.12</v>
      </c>
      <c r="O25" t="s">
        <v>25</v>
      </c>
      <c r="P25" t="str">
        <f t="shared" si="0"/>
        <v>2024-12</v>
      </c>
    </row>
    <row r="26" spans="1:16" ht="15.75" customHeight="1" x14ac:dyDescent="0.3">
      <c r="A26" t="s">
        <v>116</v>
      </c>
      <c r="B26">
        <v>298244</v>
      </c>
      <c r="C26" t="s">
        <v>117</v>
      </c>
      <c r="D26">
        <v>977958651702</v>
      </c>
      <c r="E26" t="s">
        <v>28</v>
      </c>
      <c r="F26" t="s">
        <v>79</v>
      </c>
      <c r="G26" t="s">
        <v>37</v>
      </c>
      <c r="H26" t="s">
        <v>67</v>
      </c>
      <c r="I26" t="s">
        <v>53</v>
      </c>
      <c r="J26" s="4">
        <v>488550.1</v>
      </c>
      <c r="K26" t="s">
        <v>39</v>
      </c>
      <c r="L26" s="1">
        <v>45589</v>
      </c>
      <c r="M26" t="s">
        <v>24</v>
      </c>
      <c r="N26" s="4">
        <v>1473919.05</v>
      </c>
      <c r="O26" t="s">
        <v>25</v>
      </c>
      <c r="P26" t="str">
        <f t="shared" si="0"/>
        <v>2024-10</v>
      </c>
    </row>
    <row r="27" spans="1:16" ht="15.75" customHeight="1" x14ac:dyDescent="0.3">
      <c r="A27" t="s">
        <v>118</v>
      </c>
      <c r="B27">
        <v>564685</v>
      </c>
      <c r="C27" t="s">
        <v>119</v>
      </c>
      <c r="D27">
        <v>381970890311</v>
      </c>
      <c r="E27" t="s">
        <v>64</v>
      </c>
      <c r="F27" t="s">
        <v>83</v>
      </c>
      <c r="G27" t="s">
        <v>37</v>
      </c>
      <c r="H27" t="s">
        <v>67</v>
      </c>
      <c r="I27" t="s">
        <v>53</v>
      </c>
      <c r="J27" s="4">
        <v>484637.66</v>
      </c>
      <c r="K27" t="s">
        <v>49</v>
      </c>
      <c r="L27" s="1">
        <v>45405</v>
      </c>
      <c r="M27" t="s">
        <v>24</v>
      </c>
      <c r="N27" s="4">
        <v>2087860.21</v>
      </c>
      <c r="O27" t="s">
        <v>25</v>
      </c>
      <c r="P27" t="str">
        <f t="shared" si="0"/>
        <v>2024-04</v>
      </c>
    </row>
    <row r="28" spans="1:16" ht="15.75" customHeight="1" x14ac:dyDescent="0.3">
      <c r="A28" t="s">
        <v>120</v>
      </c>
      <c r="B28">
        <v>772989</v>
      </c>
      <c r="C28" t="s">
        <v>121</v>
      </c>
      <c r="D28">
        <v>753553434809</v>
      </c>
      <c r="E28" t="s">
        <v>18</v>
      </c>
      <c r="F28" t="s">
        <v>87</v>
      </c>
      <c r="G28" t="s">
        <v>66</v>
      </c>
      <c r="H28" t="s">
        <v>67</v>
      </c>
      <c r="I28" t="s">
        <v>38</v>
      </c>
      <c r="J28" s="4">
        <v>477061.46</v>
      </c>
      <c r="K28" t="s">
        <v>49</v>
      </c>
      <c r="L28" s="1">
        <v>45503</v>
      </c>
      <c r="M28" t="s">
        <v>24</v>
      </c>
      <c r="N28" s="4">
        <v>343435.64</v>
      </c>
      <c r="O28" t="s">
        <v>25</v>
      </c>
      <c r="P28" t="str">
        <f t="shared" si="0"/>
        <v>2024-07</v>
      </c>
    </row>
    <row r="29" spans="1:16" ht="15.75" customHeight="1" x14ac:dyDescent="0.3">
      <c r="A29" t="s">
        <v>122</v>
      </c>
      <c r="B29">
        <v>516447</v>
      </c>
      <c r="C29" t="s">
        <v>123</v>
      </c>
      <c r="D29">
        <v>173872984561</v>
      </c>
      <c r="E29" t="s">
        <v>28</v>
      </c>
      <c r="F29" t="s">
        <v>29</v>
      </c>
      <c r="G29" t="s">
        <v>66</v>
      </c>
      <c r="H29" t="s">
        <v>67</v>
      </c>
      <c r="I29" t="s">
        <v>38</v>
      </c>
      <c r="J29" s="4">
        <v>475452.83</v>
      </c>
      <c r="K29" t="s">
        <v>23</v>
      </c>
      <c r="L29" s="1">
        <v>45450</v>
      </c>
      <c r="M29" t="s">
        <v>50</v>
      </c>
      <c r="N29" s="4">
        <v>1433209.47</v>
      </c>
      <c r="O29" t="s">
        <v>25</v>
      </c>
      <c r="P29" t="str">
        <f t="shared" si="0"/>
        <v>2024-06</v>
      </c>
    </row>
    <row r="30" spans="1:16" ht="15.75" customHeight="1" x14ac:dyDescent="0.3">
      <c r="A30" t="s">
        <v>124</v>
      </c>
      <c r="B30">
        <v>171990</v>
      </c>
      <c r="C30" t="s">
        <v>125</v>
      </c>
      <c r="D30">
        <v>427472926649</v>
      </c>
      <c r="E30" t="s">
        <v>18</v>
      </c>
      <c r="F30" t="s">
        <v>87</v>
      </c>
      <c r="G30" t="s">
        <v>66</v>
      </c>
      <c r="H30" t="s">
        <v>67</v>
      </c>
      <c r="I30" t="s">
        <v>48</v>
      </c>
      <c r="J30" s="4">
        <v>473663.77</v>
      </c>
      <c r="K30" t="s">
        <v>39</v>
      </c>
      <c r="L30" s="1">
        <v>45156</v>
      </c>
      <c r="M30" t="s">
        <v>24</v>
      </c>
      <c r="N30" s="4">
        <v>838290.03999999992</v>
      </c>
      <c r="O30" t="s">
        <v>25</v>
      </c>
      <c r="P30" t="str">
        <f t="shared" si="0"/>
        <v>2023-08</v>
      </c>
    </row>
    <row r="31" spans="1:16" ht="15.75" customHeight="1" x14ac:dyDescent="0.3">
      <c r="A31" t="s">
        <v>126</v>
      </c>
      <c r="B31">
        <v>217181</v>
      </c>
      <c r="C31" t="s">
        <v>127</v>
      </c>
      <c r="D31">
        <v>336318549444</v>
      </c>
      <c r="E31" t="s">
        <v>91</v>
      </c>
      <c r="F31" t="s">
        <v>109</v>
      </c>
      <c r="G31" t="s">
        <v>66</v>
      </c>
      <c r="H31" t="s">
        <v>21</v>
      </c>
      <c r="I31" t="s">
        <v>38</v>
      </c>
      <c r="J31" s="4">
        <v>470719.47</v>
      </c>
      <c r="K31" t="s">
        <v>98</v>
      </c>
      <c r="L31" s="1">
        <v>45217</v>
      </c>
      <c r="M31" t="s">
        <v>24</v>
      </c>
      <c r="N31" s="4">
        <v>1870328.71</v>
      </c>
      <c r="O31" t="s">
        <v>25</v>
      </c>
      <c r="P31" t="str">
        <f t="shared" si="0"/>
        <v>2023-10</v>
      </c>
    </row>
    <row r="32" spans="1:16" ht="15.75" customHeight="1" x14ac:dyDescent="0.3">
      <c r="A32" t="s">
        <v>128</v>
      </c>
      <c r="B32">
        <v>853995</v>
      </c>
      <c r="C32" t="s">
        <v>129</v>
      </c>
      <c r="D32">
        <v>564485035229</v>
      </c>
      <c r="E32" t="s">
        <v>91</v>
      </c>
      <c r="F32" t="s">
        <v>130</v>
      </c>
      <c r="G32" t="s">
        <v>66</v>
      </c>
      <c r="H32" t="s">
        <v>67</v>
      </c>
      <c r="I32" t="s">
        <v>22</v>
      </c>
      <c r="J32" s="4">
        <v>469955.81</v>
      </c>
      <c r="K32" t="s">
        <v>39</v>
      </c>
      <c r="L32" s="1">
        <v>45429</v>
      </c>
      <c r="M32" t="s">
        <v>24</v>
      </c>
      <c r="N32" s="4">
        <v>2159844.0099999998</v>
      </c>
      <c r="O32" t="s">
        <v>25</v>
      </c>
      <c r="P32" t="str">
        <f t="shared" si="0"/>
        <v>2024-05</v>
      </c>
    </row>
    <row r="33" spans="1:16" ht="15.75" customHeight="1" x14ac:dyDescent="0.3">
      <c r="A33" t="s">
        <v>132</v>
      </c>
      <c r="B33">
        <v>433879</v>
      </c>
      <c r="C33" t="s">
        <v>133</v>
      </c>
      <c r="D33">
        <v>201493145216</v>
      </c>
      <c r="E33" t="s">
        <v>91</v>
      </c>
      <c r="F33" t="s">
        <v>92</v>
      </c>
      <c r="G33" t="s">
        <v>66</v>
      </c>
      <c r="H33" t="s">
        <v>70</v>
      </c>
      <c r="I33" t="s">
        <v>22</v>
      </c>
      <c r="J33" s="4">
        <v>469814.95</v>
      </c>
      <c r="K33" t="s">
        <v>39</v>
      </c>
      <c r="L33" s="1">
        <v>45128</v>
      </c>
      <c r="M33" t="s">
        <v>24</v>
      </c>
      <c r="N33" s="4">
        <v>1965672.23</v>
      </c>
      <c r="O33" t="s">
        <v>25</v>
      </c>
      <c r="P33" t="str">
        <f t="shared" si="0"/>
        <v>2023-07</v>
      </c>
    </row>
    <row r="34" spans="1:16" ht="15.75" customHeight="1" x14ac:dyDescent="0.3">
      <c r="A34" t="s">
        <v>134</v>
      </c>
      <c r="B34">
        <v>651973</v>
      </c>
      <c r="C34" t="s">
        <v>135</v>
      </c>
      <c r="D34">
        <v>560621316956</v>
      </c>
      <c r="E34" t="s">
        <v>35</v>
      </c>
      <c r="F34" t="s">
        <v>136</v>
      </c>
      <c r="G34" t="s">
        <v>66</v>
      </c>
      <c r="H34" t="s">
        <v>31</v>
      </c>
      <c r="I34" t="s">
        <v>22</v>
      </c>
      <c r="J34" s="4">
        <v>466320.11</v>
      </c>
      <c r="K34" t="s">
        <v>39</v>
      </c>
      <c r="L34" s="1">
        <v>45796</v>
      </c>
      <c r="M34" t="s">
        <v>24</v>
      </c>
      <c r="N34" s="4">
        <v>1180170.71</v>
      </c>
      <c r="O34" t="s">
        <v>25</v>
      </c>
      <c r="P34" t="str">
        <f t="shared" si="0"/>
        <v>2025-05</v>
      </c>
    </row>
    <row r="35" spans="1:16" ht="15.75" customHeight="1" x14ac:dyDescent="0.3">
      <c r="A35" t="s">
        <v>138</v>
      </c>
      <c r="B35">
        <v>743304</v>
      </c>
      <c r="C35" t="s">
        <v>139</v>
      </c>
      <c r="D35">
        <v>213916121897</v>
      </c>
      <c r="E35" t="s">
        <v>64</v>
      </c>
      <c r="F35" t="s">
        <v>65</v>
      </c>
      <c r="G35" t="s">
        <v>66</v>
      </c>
      <c r="H35" t="s">
        <v>67</v>
      </c>
      <c r="I35" t="s">
        <v>53</v>
      </c>
      <c r="J35" s="4">
        <v>466117.12</v>
      </c>
      <c r="K35" t="s">
        <v>49</v>
      </c>
      <c r="L35" s="1">
        <v>45746</v>
      </c>
      <c r="M35" t="s">
        <v>24</v>
      </c>
      <c r="N35" s="4">
        <v>199853.73</v>
      </c>
      <c r="O35" t="s">
        <v>25</v>
      </c>
      <c r="P35" t="str">
        <f t="shared" si="0"/>
        <v>2025-03</v>
      </c>
    </row>
    <row r="36" spans="1:16" ht="15.75" customHeight="1" x14ac:dyDescent="0.3">
      <c r="A36" t="s">
        <v>140</v>
      </c>
      <c r="B36">
        <v>433578</v>
      </c>
      <c r="C36" t="s">
        <v>141</v>
      </c>
      <c r="D36">
        <v>524724150945</v>
      </c>
      <c r="E36" t="s">
        <v>18</v>
      </c>
      <c r="F36" t="s">
        <v>19</v>
      </c>
      <c r="G36" t="s">
        <v>66</v>
      </c>
      <c r="H36" t="s">
        <v>21</v>
      </c>
      <c r="I36" t="s">
        <v>48</v>
      </c>
      <c r="J36" s="4">
        <v>460250.13</v>
      </c>
      <c r="K36" t="s">
        <v>23</v>
      </c>
      <c r="L36" s="1">
        <v>45706</v>
      </c>
      <c r="M36" t="s">
        <v>24</v>
      </c>
      <c r="N36" s="4">
        <v>777778</v>
      </c>
      <c r="O36" t="s">
        <v>25</v>
      </c>
      <c r="P36" t="str">
        <f t="shared" si="0"/>
        <v>2025-02</v>
      </c>
    </row>
    <row r="37" spans="1:16" ht="15.75" customHeight="1" x14ac:dyDescent="0.3">
      <c r="A37" t="s">
        <v>142</v>
      </c>
      <c r="B37">
        <v>335618</v>
      </c>
      <c r="C37" t="s">
        <v>143</v>
      </c>
      <c r="D37">
        <v>978676125504</v>
      </c>
      <c r="E37" t="s">
        <v>91</v>
      </c>
      <c r="F37" t="s">
        <v>105</v>
      </c>
      <c r="G37" t="s">
        <v>66</v>
      </c>
      <c r="H37" t="s">
        <v>67</v>
      </c>
      <c r="I37" t="s">
        <v>22</v>
      </c>
      <c r="J37" s="4">
        <v>459795.81</v>
      </c>
      <c r="K37" t="s">
        <v>32</v>
      </c>
      <c r="L37" s="1">
        <v>45241</v>
      </c>
      <c r="M37" t="s">
        <v>24</v>
      </c>
      <c r="N37" s="4">
        <v>183649.06</v>
      </c>
      <c r="O37" t="s">
        <v>25</v>
      </c>
      <c r="P37" t="str">
        <f t="shared" si="0"/>
        <v>2023-11</v>
      </c>
    </row>
    <row r="38" spans="1:16" ht="15.75" customHeight="1" x14ac:dyDescent="0.3">
      <c r="A38" t="s">
        <v>144</v>
      </c>
      <c r="B38">
        <v>134765</v>
      </c>
      <c r="C38" t="s">
        <v>145</v>
      </c>
      <c r="D38">
        <v>580776402182</v>
      </c>
      <c r="E38" t="s">
        <v>64</v>
      </c>
      <c r="F38" t="s">
        <v>146</v>
      </c>
      <c r="G38" t="s">
        <v>66</v>
      </c>
      <c r="H38" t="s">
        <v>67</v>
      </c>
      <c r="I38" t="s">
        <v>48</v>
      </c>
      <c r="J38" s="4">
        <v>458663.48</v>
      </c>
      <c r="K38" t="s">
        <v>49</v>
      </c>
      <c r="L38" s="1">
        <v>45588</v>
      </c>
      <c r="M38" t="s">
        <v>24</v>
      </c>
      <c r="N38" s="4">
        <v>1678066.58</v>
      </c>
      <c r="O38" t="s">
        <v>25</v>
      </c>
      <c r="P38" t="str">
        <f t="shared" si="0"/>
        <v>2024-10</v>
      </c>
    </row>
    <row r="39" spans="1:16" ht="15.75" customHeight="1" x14ac:dyDescent="0.3">
      <c r="A39" t="s">
        <v>148</v>
      </c>
      <c r="B39">
        <v>837453</v>
      </c>
      <c r="C39" t="s">
        <v>149</v>
      </c>
      <c r="D39">
        <v>192276969734</v>
      </c>
      <c r="E39" t="s">
        <v>28</v>
      </c>
      <c r="F39" t="s">
        <v>150</v>
      </c>
      <c r="G39" t="s">
        <v>66</v>
      </c>
      <c r="H39" t="s">
        <v>21</v>
      </c>
      <c r="I39" t="s">
        <v>53</v>
      </c>
      <c r="J39" s="4">
        <v>450326.06</v>
      </c>
      <c r="K39" t="s">
        <v>98</v>
      </c>
      <c r="L39" s="1">
        <v>45336</v>
      </c>
      <c r="M39" t="s">
        <v>24</v>
      </c>
      <c r="N39" s="4">
        <v>351667.74</v>
      </c>
      <c r="O39" t="s">
        <v>25</v>
      </c>
      <c r="P39" t="str">
        <f t="shared" si="0"/>
        <v>2024-02</v>
      </c>
    </row>
    <row r="40" spans="1:16" ht="15.75" customHeight="1" x14ac:dyDescent="0.3">
      <c r="A40" t="s">
        <v>152</v>
      </c>
      <c r="B40">
        <v>212429</v>
      </c>
      <c r="C40" t="s">
        <v>153</v>
      </c>
      <c r="D40">
        <v>788289851630</v>
      </c>
      <c r="E40" t="s">
        <v>91</v>
      </c>
      <c r="F40" t="s">
        <v>92</v>
      </c>
      <c r="G40" t="s">
        <v>66</v>
      </c>
      <c r="H40" t="s">
        <v>21</v>
      </c>
      <c r="I40" t="s">
        <v>48</v>
      </c>
      <c r="J40" s="4">
        <v>443617.87</v>
      </c>
      <c r="K40" t="s">
        <v>39</v>
      </c>
      <c r="L40" s="1">
        <v>45566</v>
      </c>
      <c r="M40" t="s">
        <v>24</v>
      </c>
      <c r="N40" s="4">
        <v>1171836.49</v>
      </c>
      <c r="O40" t="s">
        <v>25</v>
      </c>
      <c r="P40" t="str">
        <f t="shared" si="0"/>
        <v>2024-10</v>
      </c>
    </row>
    <row r="41" spans="1:16" ht="15.75" customHeight="1" x14ac:dyDescent="0.3">
      <c r="A41" t="s">
        <v>154</v>
      </c>
      <c r="B41">
        <v>652501</v>
      </c>
      <c r="C41" t="s">
        <v>155</v>
      </c>
      <c r="D41">
        <v>792670907549</v>
      </c>
      <c r="E41" t="s">
        <v>18</v>
      </c>
      <c r="F41" t="s">
        <v>156</v>
      </c>
      <c r="G41" t="s">
        <v>66</v>
      </c>
      <c r="H41" t="s">
        <v>67</v>
      </c>
      <c r="I41" t="s">
        <v>22</v>
      </c>
      <c r="J41" s="4">
        <v>443587.6</v>
      </c>
      <c r="K41" t="s">
        <v>23</v>
      </c>
      <c r="L41" s="1">
        <v>45548</v>
      </c>
      <c r="M41" t="s">
        <v>24</v>
      </c>
      <c r="N41" s="4">
        <v>930650.27</v>
      </c>
      <c r="O41" t="s">
        <v>25</v>
      </c>
      <c r="P41" t="str">
        <f t="shared" si="0"/>
        <v>2024-09</v>
      </c>
    </row>
    <row r="42" spans="1:16" ht="15.75" customHeight="1" x14ac:dyDescent="0.3">
      <c r="A42" t="s">
        <v>158</v>
      </c>
      <c r="B42">
        <v>223517</v>
      </c>
      <c r="C42" t="s">
        <v>159</v>
      </c>
      <c r="D42">
        <v>709411524006</v>
      </c>
      <c r="E42" t="s">
        <v>91</v>
      </c>
      <c r="F42" t="s">
        <v>92</v>
      </c>
      <c r="G42" t="s">
        <v>66</v>
      </c>
      <c r="H42" t="s">
        <v>67</v>
      </c>
      <c r="I42" t="s">
        <v>48</v>
      </c>
      <c r="J42" s="4">
        <v>443370.23999999999</v>
      </c>
      <c r="K42" t="s">
        <v>39</v>
      </c>
      <c r="L42" s="1">
        <v>45198</v>
      </c>
      <c r="M42" t="s">
        <v>24</v>
      </c>
      <c r="N42" s="4">
        <v>604057.52</v>
      </c>
      <c r="O42" t="s">
        <v>25</v>
      </c>
      <c r="P42" t="str">
        <f t="shared" si="0"/>
        <v>2023-09</v>
      </c>
    </row>
    <row r="43" spans="1:16" ht="15.75" customHeight="1" x14ac:dyDescent="0.3">
      <c r="A43" t="s">
        <v>160</v>
      </c>
      <c r="B43">
        <v>875642</v>
      </c>
      <c r="C43" t="s">
        <v>161</v>
      </c>
      <c r="D43">
        <v>397885804569</v>
      </c>
      <c r="E43" t="s">
        <v>91</v>
      </c>
      <c r="F43" t="s">
        <v>162</v>
      </c>
      <c r="G43" t="s">
        <v>66</v>
      </c>
      <c r="H43" t="s">
        <v>31</v>
      </c>
      <c r="I43" t="s">
        <v>38</v>
      </c>
      <c r="J43" s="4">
        <v>442525.87</v>
      </c>
      <c r="K43" t="s">
        <v>49</v>
      </c>
      <c r="L43" s="1">
        <v>45269</v>
      </c>
      <c r="M43" t="s">
        <v>24</v>
      </c>
      <c r="N43" s="4">
        <v>1596795</v>
      </c>
      <c r="O43" t="s">
        <v>25</v>
      </c>
      <c r="P43" t="str">
        <f t="shared" si="0"/>
        <v>2023-12</v>
      </c>
    </row>
    <row r="44" spans="1:16" ht="15.75" customHeight="1" x14ac:dyDescent="0.3">
      <c r="A44" t="s">
        <v>164</v>
      </c>
      <c r="B44">
        <v>634610</v>
      </c>
      <c r="C44" t="s">
        <v>165</v>
      </c>
      <c r="D44">
        <v>707104940908</v>
      </c>
      <c r="E44" t="s">
        <v>64</v>
      </c>
      <c r="F44" t="s">
        <v>166</v>
      </c>
      <c r="G44" t="s">
        <v>66</v>
      </c>
      <c r="H44" t="s">
        <v>67</v>
      </c>
      <c r="I44" t="s">
        <v>38</v>
      </c>
      <c r="J44" s="4">
        <v>433074.01</v>
      </c>
      <c r="K44" t="s">
        <v>23</v>
      </c>
      <c r="L44" s="1">
        <v>45488</v>
      </c>
      <c r="M44" t="s">
        <v>168</v>
      </c>
      <c r="N44" s="4">
        <v>1345360.8</v>
      </c>
      <c r="O44" t="s">
        <v>25</v>
      </c>
      <c r="P44" t="str">
        <f t="shared" si="0"/>
        <v>2024-07</v>
      </c>
    </row>
    <row r="45" spans="1:16" ht="15.75" customHeight="1" x14ac:dyDescent="0.3">
      <c r="A45" t="s">
        <v>169</v>
      </c>
      <c r="B45">
        <v>378722</v>
      </c>
      <c r="C45" t="s">
        <v>170</v>
      </c>
      <c r="D45">
        <v>327507559769</v>
      </c>
      <c r="E45" t="s">
        <v>35</v>
      </c>
      <c r="F45" t="s">
        <v>36</v>
      </c>
      <c r="G45" t="s">
        <v>66</v>
      </c>
      <c r="H45" t="s">
        <v>70</v>
      </c>
      <c r="I45" t="s">
        <v>38</v>
      </c>
      <c r="J45" s="4">
        <v>431597.82</v>
      </c>
      <c r="K45" t="s">
        <v>49</v>
      </c>
      <c r="L45" s="1">
        <v>45438</v>
      </c>
      <c r="M45" t="s">
        <v>24</v>
      </c>
      <c r="N45" s="4">
        <v>52500.329999999987</v>
      </c>
      <c r="O45" t="s">
        <v>25</v>
      </c>
      <c r="P45" t="str">
        <f t="shared" si="0"/>
        <v>2024-05</v>
      </c>
    </row>
    <row r="46" spans="1:16" ht="15.75" customHeight="1" x14ac:dyDescent="0.3">
      <c r="A46" t="s">
        <v>171</v>
      </c>
      <c r="B46">
        <v>870934</v>
      </c>
      <c r="C46" t="s">
        <v>172</v>
      </c>
      <c r="D46">
        <v>982037976790</v>
      </c>
      <c r="E46" t="s">
        <v>91</v>
      </c>
      <c r="F46" t="s">
        <v>109</v>
      </c>
      <c r="G46" t="s">
        <v>66</v>
      </c>
      <c r="H46" t="s">
        <v>21</v>
      </c>
      <c r="I46" t="s">
        <v>22</v>
      </c>
      <c r="J46" s="4">
        <v>427397.73</v>
      </c>
      <c r="K46" t="s">
        <v>32</v>
      </c>
      <c r="L46" s="1">
        <v>45151</v>
      </c>
      <c r="M46" t="s">
        <v>24</v>
      </c>
      <c r="N46" s="4">
        <v>1019397.23</v>
      </c>
      <c r="O46" t="s">
        <v>25</v>
      </c>
      <c r="P46" t="str">
        <f t="shared" si="0"/>
        <v>2023-08</v>
      </c>
    </row>
    <row r="47" spans="1:16" ht="15.75" customHeight="1" x14ac:dyDescent="0.3">
      <c r="A47" t="s">
        <v>173</v>
      </c>
      <c r="B47">
        <v>545234</v>
      </c>
      <c r="C47" t="s">
        <v>174</v>
      </c>
      <c r="D47">
        <v>702697254640</v>
      </c>
      <c r="E47" t="s">
        <v>64</v>
      </c>
      <c r="F47" t="s">
        <v>166</v>
      </c>
      <c r="G47" t="s">
        <v>66</v>
      </c>
      <c r="H47" t="s">
        <v>31</v>
      </c>
      <c r="I47" t="s">
        <v>22</v>
      </c>
      <c r="J47" s="4">
        <v>426792.12</v>
      </c>
      <c r="K47" t="s">
        <v>49</v>
      </c>
      <c r="L47" s="1">
        <v>45186</v>
      </c>
      <c r="M47" t="s">
        <v>24</v>
      </c>
      <c r="N47" s="4">
        <v>1886842.96</v>
      </c>
      <c r="O47" t="s">
        <v>25</v>
      </c>
      <c r="P47" t="str">
        <f t="shared" si="0"/>
        <v>2023-09</v>
      </c>
    </row>
    <row r="48" spans="1:16" ht="15.75" customHeight="1" x14ac:dyDescent="0.3">
      <c r="A48" t="s">
        <v>175</v>
      </c>
      <c r="B48">
        <v>282725</v>
      </c>
      <c r="C48" t="s">
        <v>176</v>
      </c>
      <c r="D48">
        <v>590927660148</v>
      </c>
      <c r="E48" t="s">
        <v>64</v>
      </c>
      <c r="F48" t="s">
        <v>177</v>
      </c>
      <c r="G48" t="s">
        <v>163</v>
      </c>
      <c r="H48" t="s">
        <v>21</v>
      </c>
      <c r="I48" t="s">
        <v>53</v>
      </c>
      <c r="J48" s="4">
        <v>426427.56</v>
      </c>
      <c r="K48" t="s">
        <v>32</v>
      </c>
      <c r="L48" s="1">
        <v>45348</v>
      </c>
      <c r="M48" t="s">
        <v>24</v>
      </c>
      <c r="N48" s="4">
        <v>1606533</v>
      </c>
      <c r="O48" t="s">
        <v>179</v>
      </c>
      <c r="P48" t="str">
        <f t="shared" si="0"/>
        <v>2024-02</v>
      </c>
    </row>
    <row r="49" spans="1:16" ht="15.75" customHeight="1" x14ac:dyDescent="0.3">
      <c r="A49" t="s">
        <v>180</v>
      </c>
      <c r="B49">
        <v>798832</v>
      </c>
      <c r="C49" t="s">
        <v>181</v>
      </c>
      <c r="D49">
        <v>366996690919</v>
      </c>
      <c r="E49" t="s">
        <v>64</v>
      </c>
      <c r="F49" t="s">
        <v>65</v>
      </c>
      <c r="G49" t="s">
        <v>163</v>
      </c>
      <c r="H49" t="s">
        <v>21</v>
      </c>
      <c r="I49" t="s">
        <v>53</v>
      </c>
      <c r="J49" s="4">
        <v>420581.41</v>
      </c>
      <c r="K49" t="s">
        <v>32</v>
      </c>
      <c r="L49" s="1">
        <v>45128</v>
      </c>
      <c r="M49" t="s">
        <v>24</v>
      </c>
      <c r="N49" s="4">
        <v>430998.17</v>
      </c>
      <c r="O49" t="s">
        <v>25</v>
      </c>
      <c r="P49" t="str">
        <f t="shared" si="0"/>
        <v>2023-07</v>
      </c>
    </row>
    <row r="50" spans="1:16" ht="15.75" customHeight="1" x14ac:dyDescent="0.3">
      <c r="A50" t="s">
        <v>182</v>
      </c>
      <c r="B50">
        <v>693194</v>
      </c>
      <c r="C50" t="s">
        <v>183</v>
      </c>
      <c r="D50">
        <v>715222997316</v>
      </c>
      <c r="E50" t="s">
        <v>28</v>
      </c>
      <c r="F50" t="s">
        <v>79</v>
      </c>
      <c r="G50" t="s">
        <v>163</v>
      </c>
      <c r="H50" t="s">
        <v>31</v>
      </c>
      <c r="I50" t="s">
        <v>53</v>
      </c>
      <c r="J50" s="4">
        <v>420524.11</v>
      </c>
      <c r="K50" t="s">
        <v>32</v>
      </c>
      <c r="L50" s="1">
        <v>45258</v>
      </c>
      <c r="M50" t="s">
        <v>24</v>
      </c>
      <c r="N50" s="4">
        <v>820338.34</v>
      </c>
      <c r="O50" t="s">
        <v>25</v>
      </c>
      <c r="P50" t="str">
        <f t="shared" si="0"/>
        <v>2023-11</v>
      </c>
    </row>
    <row r="51" spans="1:16" ht="15.75" customHeight="1" x14ac:dyDescent="0.3">
      <c r="A51" t="s">
        <v>184</v>
      </c>
      <c r="B51">
        <v>178161</v>
      </c>
      <c r="C51" t="s">
        <v>185</v>
      </c>
      <c r="D51">
        <v>850425096741</v>
      </c>
      <c r="E51" t="s">
        <v>18</v>
      </c>
      <c r="F51" t="s">
        <v>56</v>
      </c>
      <c r="G51" t="s">
        <v>163</v>
      </c>
      <c r="H51" t="s">
        <v>70</v>
      </c>
      <c r="I51" t="s">
        <v>53</v>
      </c>
      <c r="J51" s="4">
        <v>419123.96</v>
      </c>
      <c r="K51" t="s">
        <v>23</v>
      </c>
      <c r="L51" s="1">
        <v>45259</v>
      </c>
      <c r="M51" t="s">
        <v>24</v>
      </c>
      <c r="N51" s="4">
        <v>1640818.48</v>
      </c>
      <c r="O51" t="s">
        <v>25</v>
      </c>
      <c r="P51" t="str">
        <f t="shared" si="0"/>
        <v>2023-11</v>
      </c>
    </row>
    <row r="52" spans="1:16" ht="15.75" customHeight="1" x14ac:dyDescent="0.3">
      <c r="A52" t="s">
        <v>186</v>
      </c>
      <c r="B52">
        <v>945986</v>
      </c>
      <c r="C52" t="s">
        <v>187</v>
      </c>
      <c r="D52">
        <v>316273586448</v>
      </c>
      <c r="E52" t="s">
        <v>64</v>
      </c>
      <c r="F52" t="s">
        <v>65</v>
      </c>
      <c r="G52" t="s">
        <v>163</v>
      </c>
      <c r="H52" t="s">
        <v>67</v>
      </c>
      <c r="I52" t="s">
        <v>48</v>
      </c>
      <c r="J52" s="4">
        <v>419114.61</v>
      </c>
      <c r="K52" t="s">
        <v>32</v>
      </c>
      <c r="L52" s="1">
        <v>45712</v>
      </c>
      <c r="M52" t="s">
        <v>168</v>
      </c>
      <c r="N52" s="4">
        <v>673253.87</v>
      </c>
      <c r="O52" t="s">
        <v>25</v>
      </c>
      <c r="P52" t="str">
        <f t="shared" si="0"/>
        <v>2025-02</v>
      </c>
    </row>
    <row r="53" spans="1:16" ht="15.75" customHeight="1" x14ac:dyDescent="0.3">
      <c r="A53" t="s">
        <v>188</v>
      </c>
      <c r="B53">
        <v>969262</v>
      </c>
      <c r="C53" t="s">
        <v>189</v>
      </c>
      <c r="D53">
        <v>593004841860</v>
      </c>
      <c r="E53" t="s">
        <v>18</v>
      </c>
      <c r="F53" t="s">
        <v>56</v>
      </c>
      <c r="G53" t="s">
        <v>163</v>
      </c>
      <c r="H53" t="s">
        <v>70</v>
      </c>
      <c r="I53" t="s">
        <v>38</v>
      </c>
      <c r="J53" s="4">
        <v>417377.31</v>
      </c>
      <c r="K53" t="s">
        <v>23</v>
      </c>
      <c r="L53" s="1">
        <v>45798</v>
      </c>
      <c r="M53" t="s">
        <v>24</v>
      </c>
      <c r="N53" s="4">
        <v>988997.22</v>
      </c>
      <c r="O53" t="s">
        <v>179</v>
      </c>
      <c r="P53" t="str">
        <f t="shared" si="0"/>
        <v>2025-05</v>
      </c>
    </row>
    <row r="54" spans="1:16" ht="15.75" customHeight="1" x14ac:dyDescent="0.3">
      <c r="A54" t="s">
        <v>190</v>
      </c>
      <c r="B54">
        <v>624419</v>
      </c>
      <c r="C54" t="s">
        <v>191</v>
      </c>
      <c r="D54">
        <v>315927510709</v>
      </c>
      <c r="E54" t="s">
        <v>28</v>
      </c>
      <c r="F54" t="s">
        <v>192</v>
      </c>
      <c r="G54" t="s">
        <v>163</v>
      </c>
      <c r="H54" t="s">
        <v>21</v>
      </c>
      <c r="I54" t="s">
        <v>22</v>
      </c>
      <c r="J54" s="4">
        <v>416358.8</v>
      </c>
      <c r="K54" t="s">
        <v>23</v>
      </c>
      <c r="L54" s="1">
        <v>45153</v>
      </c>
      <c r="M54" t="s">
        <v>24</v>
      </c>
      <c r="N54" s="4">
        <v>855697.4</v>
      </c>
      <c r="O54" t="s">
        <v>25</v>
      </c>
      <c r="P54" t="str">
        <f t="shared" si="0"/>
        <v>2023-08</v>
      </c>
    </row>
    <row r="55" spans="1:16" ht="15.75" customHeight="1" x14ac:dyDescent="0.3">
      <c r="A55" t="s">
        <v>194</v>
      </c>
      <c r="B55">
        <v>690301</v>
      </c>
      <c r="C55" t="s">
        <v>195</v>
      </c>
      <c r="D55">
        <v>726575855284</v>
      </c>
      <c r="E55" t="s">
        <v>28</v>
      </c>
      <c r="F55" t="s">
        <v>79</v>
      </c>
      <c r="G55" t="s">
        <v>163</v>
      </c>
      <c r="H55" t="s">
        <v>31</v>
      </c>
      <c r="I55" t="s">
        <v>53</v>
      </c>
      <c r="J55" s="4">
        <v>415314.39</v>
      </c>
      <c r="K55" t="s">
        <v>49</v>
      </c>
      <c r="L55" s="1">
        <v>45492</v>
      </c>
      <c r="M55" t="s">
        <v>24</v>
      </c>
      <c r="N55" s="4">
        <v>1904363.29</v>
      </c>
      <c r="O55" t="s">
        <v>25</v>
      </c>
      <c r="P55" t="str">
        <f t="shared" si="0"/>
        <v>2024-07</v>
      </c>
    </row>
    <row r="56" spans="1:16" ht="15.75" customHeight="1" x14ac:dyDescent="0.3">
      <c r="A56" t="s">
        <v>196</v>
      </c>
      <c r="B56">
        <v>247721</v>
      </c>
      <c r="C56" t="s">
        <v>197</v>
      </c>
      <c r="D56">
        <v>388988910146</v>
      </c>
      <c r="E56" t="s">
        <v>35</v>
      </c>
      <c r="F56" t="s">
        <v>73</v>
      </c>
      <c r="G56" t="s">
        <v>163</v>
      </c>
      <c r="H56" t="s">
        <v>21</v>
      </c>
      <c r="I56" t="s">
        <v>38</v>
      </c>
      <c r="J56" s="4">
        <v>414000.24</v>
      </c>
      <c r="K56" t="s">
        <v>32</v>
      </c>
      <c r="L56" s="1">
        <v>45595</v>
      </c>
      <c r="M56" t="s">
        <v>24</v>
      </c>
      <c r="N56" s="4">
        <v>1584338.01</v>
      </c>
      <c r="O56" t="s">
        <v>25</v>
      </c>
      <c r="P56" t="str">
        <f t="shared" si="0"/>
        <v>2024-10</v>
      </c>
    </row>
    <row r="57" spans="1:16" ht="15.75" customHeight="1" x14ac:dyDescent="0.3">
      <c r="A57" t="s">
        <v>198</v>
      </c>
      <c r="B57">
        <v>752827</v>
      </c>
      <c r="C57" t="s">
        <v>199</v>
      </c>
      <c r="D57">
        <v>755637196899</v>
      </c>
      <c r="E57" t="s">
        <v>18</v>
      </c>
      <c r="F57" t="s">
        <v>46</v>
      </c>
      <c r="G57" t="s">
        <v>163</v>
      </c>
      <c r="H57" t="s">
        <v>21</v>
      </c>
      <c r="I57" t="s">
        <v>38</v>
      </c>
      <c r="J57" s="4">
        <v>413815.24</v>
      </c>
      <c r="K57" t="s">
        <v>23</v>
      </c>
      <c r="L57" s="1">
        <v>45804</v>
      </c>
      <c r="M57" t="s">
        <v>50</v>
      </c>
      <c r="N57" s="4">
        <v>545204.92000000004</v>
      </c>
      <c r="O57" t="s">
        <v>25</v>
      </c>
      <c r="P57" t="str">
        <f t="shared" si="0"/>
        <v>2025-05</v>
      </c>
    </row>
    <row r="58" spans="1:16" ht="15.75" customHeight="1" x14ac:dyDescent="0.3">
      <c r="A58" t="s">
        <v>200</v>
      </c>
      <c r="B58">
        <v>407754</v>
      </c>
      <c r="C58" t="s">
        <v>201</v>
      </c>
      <c r="D58">
        <v>170246566065</v>
      </c>
      <c r="E58" t="s">
        <v>64</v>
      </c>
      <c r="F58" t="s">
        <v>177</v>
      </c>
      <c r="G58" t="s">
        <v>163</v>
      </c>
      <c r="H58" t="s">
        <v>67</v>
      </c>
      <c r="I58" t="s">
        <v>53</v>
      </c>
      <c r="J58" s="4">
        <v>406595</v>
      </c>
      <c r="K58" t="s">
        <v>32</v>
      </c>
      <c r="L58" s="1">
        <v>45662</v>
      </c>
      <c r="M58" t="s">
        <v>24</v>
      </c>
      <c r="N58" s="4">
        <v>1754863.47</v>
      </c>
      <c r="O58" t="s">
        <v>25</v>
      </c>
      <c r="P58" t="str">
        <f t="shared" si="0"/>
        <v>2025-01</v>
      </c>
    </row>
    <row r="59" spans="1:16" ht="15.75" customHeight="1" x14ac:dyDescent="0.3">
      <c r="A59" t="s">
        <v>202</v>
      </c>
      <c r="B59">
        <v>567798</v>
      </c>
      <c r="C59" t="s">
        <v>203</v>
      </c>
      <c r="D59">
        <v>582149472587</v>
      </c>
      <c r="E59" t="s">
        <v>35</v>
      </c>
      <c r="F59" t="s">
        <v>73</v>
      </c>
      <c r="G59" t="s">
        <v>163</v>
      </c>
      <c r="H59" t="s">
        <v>67</v>
      </c>
      <c r="I59" t="s">
        <v>48</v>
      </c>
      <c r="J59" s="4">
        <v>406154.8</v>
      </c>
      <c r="K59" t="s">
        <v>49</v>
      </c>
      <c r="L59" s="1">
        <v>45518</v>
      </c>
      <c r="M59" t="s">
        <v>168</v>
      </c>
      <c r="N59" s="4">
        <v>310897.05</v>
      </c>
      <c r="O59" t="s">
        <v>25</v>
      </c>
      <c r="P59" t="str">
        <f t="shared" si="0"/>
        <v>2024-08</v>
      </c>
    </row>
    <row r="60" spans="1:16" ht="15.75" customHeight="1" x14ac:dyDescent="0.3">
      <c r="A60" t="s">
        <v>204</v>
      </c>
      <c r="B60">
        <v>552695</v>
      </c>
      <c r="C60" t="s">
        <v>205</v>
      </c>
      <c r="D60">
        <v>604716561890</v>
      </c>
      <c r="E60" t="s">
        <v>18</v>
      </c>
      <c r="F60" t="s">
        <v>156</v>
      </c>
      <c r="G60" t="s">
        <v>163</v>
      </c>
      <c r="H60" t="s">
        <v>70</v>
      </c>
      <c r="I60" t="s">
        <v>53</v>
      </c>
      <c r="J60" s="4">
        <v>403120.57</v>
      </c>
      <c r="K60" t="s">
        <v>98</v>
      </c>
      <c r="L60" s="1">
        <v>45651</v>
      </c>
      <c r="M60" t="s">
        <v>24</v>
      </c>
      <c r="N60" s="4">
        <v>686226.5</v>
      </c>
      <c r="O60" t="s">
        <v>25</v>
      </c>
      <c r="P60" t="str">
        <f t="shared" si="0"/>
        <v>2024-12</v>
      </c>
    </row>
    <row r="61" spans="1:16" ht="15.75" customHeight="1" x14ac:dyDescent="0.3">
      <c r="A61" t="s">
        <v>206</v>
      </c>
      <c r="B61">
        <v>683741</v>
      </c>
      <c r="C61" t="s">
        <v>207</v>
      </c>
      <c r="D61">
        <v>930540134859</v>
      </c>
      <c r="E61" t="s">
        <v>28</v>
      </c>
      <c r="F61" t="s">
        <v>192</v>
      </c>
      <c r="G61" t="s">
        <v>163</v>
      </c>
      <c r="H61" t="s">
        <v>70</v>
      </c>
      <c r="I61" t="s">
        <v>22</v>
      </c>
      <c r="J61" s="4">
        <v>395398.6</v>
      </c>
      <c r="K61" t="s">
        <v>32</v>
      </c>
      <c r="L61" s="1">
        <v>45415</v>
      </c>
      <c r="M61" t="s">
        <v>24</v>
      </c>
      <c r="N61" s="4">
        <v>613016.15</v>
      </c>
      <c r="O61" t="s">
        <v>25</v>
      </c>
      <c r="P61" t="str">
        <f t="shared" si="0"/>
        <v>2024-05</v>
      </c>
    </row>
    <row r="62" spans="1:16" ht="15.75" customHeight="1" x14ac:dyDescent="0.3">
      <c r="A62" t="s">
        <v>208</v>
      </c>
      <c r="B62">
        <v>553618</v>
      </c>
      <c r="C62" t="s">
        <v>209</v>
      </c>
      <c r="D62">
        <v>667033396764</v>
      </c>
      <c r="E62" t="s">
        <v>18</v>
      </c>
      <c r="F62" t="s">
        <v>56</v>
      </c>
      <c r="G62" t="s">
        <v>163</v>
      </c>
      <c r="H62" t="s">
        <v>21</v>
      </c>
      <c r="I62" t="s">
        <v>53</v>
      </c>
      <c r="J62" s="4">
        <v>394326.09</v>
      </c>
      <c r="K62" t="s">
        <v>32</v>
      </c>
      <c r="L62" s="1">
        <v>45698</v>
      </c>
      <c r="M62" t="s">
        <v>24</v>
      </c>
      <c r="N62" s="4">
        <v>631156.77</v>
      </c>
      <c r="O62" t="s">
        <v>25</v>
      </c>
      <c r="P62" t="str">
        <f t="shared" si="0"/>
        <v>2025-02</v>
      </c>
    </row>
    <row r="63" spans="1:16" ht="15.75" customHeight="1" x14ac:dyDescent="0.3">
      <c r="A63" t="s">
        <v>210</v>
      </c>
      <c r="B63">
        <v>883947</v>
      </c>
      <c r="C63" t="s">
        <v>211</v>
      </c>
      <c r="D63">
        <v>261079556384</v>
      </c>
      <c r="E63" t="s">
        <v>64</v>
      </c>
      <c r="F63" t="s">
        <v>177</v>
      </c>
      <c r="G63" t="s">
        <v>163</v>
      </c>
      <c r="H63" t="s">
        <v>31</v>
      </c>
      <c r="I63" t="s">
        <v>53</v>
      </c>
      <c r="J63" s="4">
        <v>391121.9</v>
      </c>
      <c r="K63" t="s">
        <v>49</v>
      </c>
      <c r="L63" s="1">
        <v>45581</v>
      </c>
      <c r="M63" t="s">
        <v>24</v>
      </c>
      <c r="N63" s="4">
        <v>501511.86</v>
      </c>
      <c r="O63" t="s">
        <v>25</v>
      </c>
      <c r="P63" t="str">
        <f t="shared" si="0"/>
        <v>2024-10</v>
      </c>
    </row>
    <row r="64" spans="1:16" ht="15.75" customHeight="1" x14ac:dyDescent="0.3">
      <c r="A64" t="s">
        <v>212</v>
      </c>
      <c r="B64">
        <v>561029</v>
      </c>
      <c r="C64" t="s">
        <v>213</v>
      </c>
      <c r="D64">
        <v>160461931506</v>
      </c>
      <c r="E64" t="s">
        <v>64</v>
      </c>
      <c r="F64" t="s">
        <v>65</v>
      </c>
      <c r="G64" t="s">
        <v>163</v>
      </c>
      <c r="H64" t="s">
        <v>31</v>
      </c>
      <c r="I64" t="s">
        <v>38</v>
      </c>
      <c r="J64" s="4">
        <v>390198.76</v>
      </c>
      <c r="K64" t="s">
        <v>98</v>
      </c>
      <c r="L64" s="1">
        <v>45666</v>
      </c>
      <c r="M64" t="s">
        <v>168</v>
      </c>
      <c r="N64" s="4">
        <v>375954.72</v>
      </c>
      <c r="O64" t="s">
        <v>25</v>
      </c>
      <c r="P64" t="str">
        <f t="shared" si="0"/>
        <v>2025-01</v>
      </c>
    </row>
    <row r="65" spans="1:16" ht="15.75" customHeight="1" x14ac:dyDescent="0.3">
      <c r="A65" t="s">
        <v>214</v>
      </c>
      <c r="B65">
        <v>123451</v>
      </c>
      <c r="C65" t="s">
        <v>215</v>
      </c>
      <c r="D65">
        <v>775194651628</v>
      </c>
      <c r="E65" t="s">
        <v>28</v>
      </c>
      <c r="F65" t="s">
        <v>216</v>
      </c>
      <c r="G65" t="s">
        <v>47</v>
      </c>
      <c r="H65" t="s">
        <v>67</v>
      </c>
      <c r="I65" t="s">
        <v>48</v>
      </c>
      <c r="J65" s="4">
        <v>384377.95</v>
      </c>
      <c r="K65" t="s">
        <v>39</v>
      </c>
      <c r="L65" s="1">
        <v>45357</v>
      </c>
      <c r="M65" t="s">
        <v>113</v>
      </c>
      <c r="N65" s="4">
        <v>687831.58000000007</v>
      </c>
      <c r="O65" t="s">
        <v>25</v>
      </c>
      <c r="P65" t="str">
        <f t="shared" si="0"/>
        <v>2024-03</v>
      </c>
    </row>
    <row r="66" spans="1:16" ht="15.75" customHeight="1" x14ac:dyDescent="0.3">
      <c r="A66" t="s">
        <v>218</v>
      </c>
      <c r="B66">
        <v>932665</v>
      </c>
      <c r="C66" t="s">
        <v>219</v>
      </c>
      <c r="D66">
        <v>684612790738</v>
      </c>
      <c r="E66" t="s">
        <v>28</v>
      </c>
      <c r="F66" t="s">
        <v>216</v>
      </c>
      <c r="G66" t="s">
        <v>47</v>
      </c>
      <c r="H66" t="s">
        <v>21</v>
      </c>
      <c r="I66" t="s">
        <v>48</v>
      </c>
      <c r="J66" s="4">
        <v>381840.68</v>
      </c>
      <c r="K66" t="s">
        <v>98</v>
      </c>
      <c r="L66" s="1">
        <v>45475</v>
      </c>
      <c r="M66" t="s">
        <v>24</v>
      </c>
      <c r="N66" s="4">
        <v>167674.6</v>
      </c>
      <c r="O66" t="s">
        <v>25</v>
      </c>
      <c r="P66" t="str">
        <f t="shared" si="0"/>
        <v>2024-07</v>
      </c>
    </row>
    <row r="67" spans="1:16" ht="15.75" customHeight="1" x14ac:dyDescent="0.3">
      <c r="A67" t="s">
        <v>220</v>
      </c>
      <c r="B67">
        <v>105013</v>
      </c>
      <c r="C67" t="s">
        <v>221</v>
      </c>
      <c r="D67">
        <v>244696373610</v>
      </c>
      <c r="E67" t="s">
        <v>64</v>
      </c>
      <c r="F67" t="s">
        <v>146</v>
      </c>
      <c r="G67" t="s">
        <v>47</v>
      </c>
      <c r="H67" t="s">
        <v>31</v>
      </c>
      <c r="I67" t="s">
        <v>53</v>
      </c>
      <c r="J67" s="4">
        <v>381535.21</v>
      </c>
      <c r="K67" t="s">
        <v>49</v>
      </c>
      <c r="L67" s="1">
        <v>45569</v>
      </c>
      <c r="M67" t="s">
        <v>24</v>
      </c>
      <c r="N67" s="4">
        <v>1957746.55</v>
      </c>
      <c r="O67" t="s">
        <v>25</v>
      </c>
      <c r="P67" t="str">
        <f t="shared" ref="P67:P130" si="1">TEXT(L67,"yyyy-mm")</f>
        <v>2024-10</v>
      </c>
    </row>
    <row r="68" spans="1:16" ht="15.75" customHeight="1" x14ac:dyDescent="0.3">
      <c r="A68" t="s">
        <v>222</v>
      </c>
      <c r="B68">
        <v>876150</v>
      </c>
      <c r="C68" t="s">
        <v>223</v>
      </c>
      <c r="D68">
        <v>232180677568</v>
      </c>
      <c r="E68" t="s">
        <v>64</v>
      </c>
      <c r="F68" t="s">
        <v>146</v>
      </c>
      <c r="G68" t="s">
        <v>47</v>
      </c>
      <c r="H68" t="s">
        <v>31</v>
      </c>
      <c r="I68" t="s">
        <v>48</v>
      </c>
      <c r="J68" s="4">
        <v>380588.13</v>
      </c>
      <c r="K68" t="s">
        <v>98</v>
      </c>
      <c r="L68" s="1">
        <v>45642</v>
      </c>
      <c r="M68" t="s">
        <v>24</v>
      </c>
      <c r="N68" s="4">
        <v>1087487.46</v>
      </c>
      <c r="O68" t="s">
        <v>25</v>
      </c>
      <c r="P68" t="str">
        <f t="shared" si="1"/>
        <v>2024-12</v>
      </c>
    </row>
    <row r="69" spans="1:16" ht="15.75" customHeight="1" x14ac:dyDescent="0.3">
      <c r="A69" t="s">
        <v>224</v>
      </c>
      <c r="B69">
        <v>897276</v>
      </c>
      <c r="C69" t="s">
        <v>225</v>
      </c>
      <c r="D69">
        <v>189711713821</v>
      </c>
      <c r="E69" t="s">
        <v>18</v>
      </c>
      <c r="F69" t="s">
        <v>19</v>
      </c>
      <c r="G69" t="s">
        <v>47</v>
      </c>
      <c r="H69" t="s">
        <v>31</v>
      </c>
      <c r="I69" t="s">
        <v>38</v>
      </c>
      <c r="J69" s="4">
        <v>380035.38</v>
      </c>
      <c r="K69" t="s">
        <v>23</v>
      </c>
      <c r="L69" s="1">
        <v>45266</v>
      </c>
      <c r="M69" t="s">
        <v>24</v>
      </c>
      <c r="N69" s="4">
        <v>1480230.05</v>
      </c>
      <c r="O69" t="s">
        <v>25</v>
      </c>
      <c r="P69" t="str">
        <f t="shared" si="1"/>
        <v>2023-12</v>
      </c>
    </row>
    <row r="70" spans="1:16" ht="15.75" customHeight="1" x14ac:dyDescent="0.3">
      <c r="A70" t="s">
        <v>226</v>
      </c>
      <c r="B70">
        <v>817632</v>
      </c>
      <c r="C70" t="s">
        <v>227</v>
      </c>
      <c r="D70">
        <v>414860744072</v>
      </c>
      <c r="E70" t="s">
        <v>91</v>
      </c>
      <c r="F70" t="s">
        <v>162</v>
      </c>
      <c r="G70" t="s">
        <v>47</v>
      </c>
      <c r="H70" t="s">
        <v>31</v>
      </c>
      <c r="I70" t="s">
        <v>48</v>
      </c>
      <c r="J70" s="4">
        <v>378135.91</v>
      </c>
      <c r="K70" t="s">
        <v>39</v>
      </c>
      <c r="L70" s="1">
        <v>45286</v>
      </c>
      <c r="M70" t="s">
        <v>168</v>
      </c>
      <c r="N70" s="4">
        <v>506011.52</v>
      </c>
      <c r="O70" t="s">
        <v>25</v>
      </c>
      <c r="P70" t="str">
        <f t="shared" si="1"/>
        <v>2023-12</v>
      </c>
    </row>
    <row r="71" spans="1:16" ht="15.75" customHeight="1" x14ac:dyDescent="0.3">
      <c r="A71" t="s">
        <v>228</v>
      </c>
      <c r="B71">
        <v>910508</v>
      </c>
      <c r="C71" t="s">
        <v>229</v>
      </c>
      <c r="D71">
        <v>726091926541</v>
      </c>
      <c r="E71" t="s">
        <v>28</v>
      </c>
      <c r="F71" t="s">
        <v>79</v>
      </c>
      <c r="G71" t="s">
        <v>47</v>
      </c>
      <c r="H71" t="s">
        <v>67</v>
      </c>
      <c r="I71" t="s">
        <v>38</v>
      </c>
      <c r="J71" s="4">
        <v>377204.37</v>
      </c>
      <c r="K71" t="s">
        <v>23</v>
      </c>
      <c r="L71" s="1">
        <v>45453</v>
      </c>
      <c r="M71" t="s">
        <v>24</v>
      </c>
      <c r="N71" s="4">
        <v>175635.71</v>
      </c>
      <c r="O71" t="s">
        <v>25</v>
      </c>
      <c r="P71" t="str">
        <f t="shared" si="1"/>
        <v>2024-06</v>
      </c>
    </row>
    <row r="72" spans="1:16" ht="15.75" customHeight="1" x14ac:dyDescent="0.3">
      <c r="A72" t="s">
        <v>230</v>
      </c>
      <c r="B72">
        <v>651220</v>
      </c>
      <c r="C72" t="s">
        <v>231</v>
      </c>
      <c r="D72">
        <v>260561696809</v>
      </c>
      <c r="E72" t="s">
        <v>28</v>
      </c>
      <c r="F72" t="s">
        <v>29</v>
      </c>
      <c r="G72" t="s">
        <v>47</v>
      </c>
      <c r="H72" t="s">
        <v>67</v>
      </c>
      <c r="I72" t="s">
        <v>38</v>
      </c>
      <c r="J72" s="4">
        <v>376737.14</v>
      </c>
      <c r="K72" t="s">
        <v>98</v>
      </c>
      <c r="L72" s="1">
        <v>45710</v>
      </c>
      <c r="M72" t="s">
        <v>24</v>
      </c>
      <c r="N72" s="4">
        <v>579930.85</v>
      </c>
      <c r="O72" t="s">
        <v>25</v>
      </c>
      <c r="P72" t="str">
        <f t="shared" si="1"/>
        <v>2025-02</v>
      </c>
    </row>
    <row r="73" spans="1:16" ht="15.75" customHeight="1" x14ac:dyDescent="0.3">
      <c r="A73" t="s">
        <v>232</v>
      </c>
      <c r="B73">
        <v>820049</v>
      </c>
      <c r="C73" t="s">
        <v>233</v>
      </c>
      <c r="D73">
        <v>939671397979</v>
      </c>
      <c r="E73" t="s">
        <v>35</v>
      </c>
      <c r="F73" t="s">
        <v>136</v>
      </c>
      <c r="G73" t="s">
        <v>47</v>
      </c>
      <c r="H73" t="s">
        <v>67</v>
      </c>
      <c r="I73" t="s">
        <v>53</v>
      </c>
      <c r="J73" s="4">
        <v>374242.97</v>
      </c>
      <c r="K73" t="s">
        <v>49</v>
      </c>
      <c r="L73" s="1">
        <v>45601</v>
      </c>
      <c r="M73" t="s">
        <v>24</v>
      </c>
      <c r="N73" s="4">
        <v>2030256.51</v>
      </c>
      <c r="O73" t="s">
        <v>25</v>
      </c>
      <c r="P73" t="str">
        <f t="shared" si="1"/>
        <v>2024-11</v>
      </c>
    </row>
    <row r="74" spans="1:16" ht="15.75" customHeight="1" x14ac:dyDescent="0.3">
      <c r="A74" t="s">
        <v>234</v>
      </c>
      <c r="B74">
        <v>679021</v>
      </c>
      <c r="C74" t="s">
        <v>235</v>
      </c>
      <c r="D74">
        <v>721091509137</v>
      </c>
      <c r="E74" t="s">
        <v>35</v>
      </c>
      <c r="F74" t="s">
        <v>73</v>
      </c>
      <c r="G74" t="s">
        <v>47</v>
      </c>
      <c r="H74" t="s">
        <v>21</v>
      </c>
      <c r="I74" t="s">
        <v>53</v>
      </c>
      <c r="J74" s="4">
        <v>373738.22</v>
      </c>
      <c r="K74" t="s">
        <v>23</v>
      </c>
      <c r="L74" s="1">
        <v>45222</v>
      </c>
      <c r="M74" t="s">
        <v>24</v>
      </c>
      <c r="N74" s="4">
        <v>1896600.3</v>
      </c>
      <c r="O74" t="s">
        <v>25</v>
      </c>
      <c r="P74" t="str">
        <f t="shared" si="1"/>
        <v>2023-10</v>
      </c>
    </row>
    <row r="75" spans="1:16" ht="15.75" customHeight="1" x14ac:dyDescent="0.3">
      <c r="A75" t="s">
        <v>236</v>
      </c>
      <c r="B75">
        <v>256851</v>
      </c>
      <c r="C75" t="s">
        <v>237</v>
      </c>
      <c r="D75">
        <v>174251495558</v>
      </c>
      <c r="E75" t="s">
        <v>91</v>
      </c>
      <c r="F75" t="s">
        <v>130</v>
      </c>
      <c r="G75" t="s">
        <v>47</v>
      </c>
      <c r="H75" t="s">
        <v>70</v>
      </c>
      <c r="I75" t="s">
        <v>38</v>
      </c>
      <c r="J75" s="4">
        <v>373735.38</v>
      </c>
      <c r="K75" t="s">
        <v>98</v>
      </c>
      <c r="L75" s="1">
        <v>45529</v>
      </c>
      <c r="M75" t="s">
        <v>168</v>
      </c>
      <c r="N75" s="4">
        <v>1569398.54</v>
      </c>
      <c r="O75" t="s">
        <v>25</v>
      </c>
      <c r="P75" t="str">
        <f t="shared" si="1"/>
        <v>2024-08</v>
      </c>
    </row>
    <row r="76" spans="1:16" ht="15.75" customHeight="1" x14ac:dyDescent="0.3">
      <c r="A76" t="s">
        <v>238</v>
      </c>
      <c r="B76">
        <v>761621</v>
      </c>
      <c r="C76" t="s">
        <v>239</v>
      </c>
      <c r="D76">
        <v>335715085702</v>
      </c>
      <c r="E76" t="s">
        <v>35</v>
      </c>
      <c r="F76" t="s">
        <v>60</v>
      </c>
      <c r="G76" t="s">
        <v>47</v>
      </c>
      <c r="H76" t="s">
        <v>67</v>
      </c>
      <c r="I76" t="s">
        <v>48</v>
      </c>
      <c r="J76" s="4">
        <v>369861.85</v>
      </c>
      <c r="K76" t="s">
        <v>32</v>
      </c>
      <c r="L76" s="1">
        <v>45761</v>
      </c>
      <c r="M76" t="s">
        <v>24</v>
      </c>
      <c r="N76" s="4">
        <v>222485.48</v>
      </c>
      <c r="O76" t="s">
        <v>25</v>
      </c>
      <c r="P76" t="str">
        <f t="shared" si="1"/>
        <v>2025-04</v>
      </c>
    </row>
    <row r="77" spans="1:16" ht="15.75" customHeight="1" x14ac:dyDescent="0.3">
      <c r="A77" t="s">
        <v>240</v>
      </c>
      <c r="B77">
        <v>615769</v>
      </c>
      <c r="C77" t="s">
        <v>241</v>
      </c>
      <c r="D77">
        <v>407129016960</v>
      </c>
      <c r="E77" t="s">
        <v>91</v>
      </c>
      <c r="F77" t="s">
        <v>162</v>
      </c>
      <c r="G77" t="s">
        <v>47</v>
      </c>
      <c r="H77" t="s">
        <v>31</v>
      </c>
      <c r="I77" t="s">
        <v>53</v>
      </c>
      <c r="J77" s="4">
        <v>367978.86</v>
      </c>
      <c r="K77" t="s">
        <v>39</v>
      </c>
      <c r="L77" s="1">
        <v>45518</v>
      </c>
      <c r="M77" t="s">
        <v>24</v>
      </c>
      <c r="N77" s="4">
        <v>300060.15000000002</v>
      </c>
      <c r="O77" t="s">
        <v>25</v>
      </c>
      <c r="P77" t="str">
        <f t="shared" si="1"/>
        <v>2024-08</v>
      </c>
    </row>
    <row r="78" spans="1:16" ht="15.75" customHeight="1" x14ac:dyDescent="0.3">
      <c r="A78" t="s">
        <v>242</v>
      </c>
      <c r="B78">
        <v>964477</v>
      </c>
      <c r="C78" t="s">
        <v>243</v>
      </c>
      <c r="D78">
        <v>273078175564</v>
      </c>
      <c r="E78" t="s">
        <v>64</v>
      </c>
      <c r="F78" t="s">
        <v>146</v>
      </c>
      <c r="G78" t="s">
        <v>47</v>
      </c>
      <c r="H78" t="s">
        <v>67</v>
      </c>
      <c r="I78" t="s">
        <v>48</v>
      </c>
      <c r="J78" s="4">
        <v>363834.7</v>
      </c>
      <c r="K78" t="s">
        <v>23</v>
      </c>
      <c r="L78" s="1">
        <v>45170</v>
      </c>
      <c r="M78" t="s">
        <v>24</v>
      </c>
      <c r="N78" s="4">
        <v>1469822.53</v>
      </c>
      <c r="O78" t="s">
        <v>25</v>
      </c>
      <c r="P78" t="str">
        <f t="shared" si="1"/>
        <v>2023-09</v>
      </c>
    </row>
    <row r="79" spans="1:16" ht="15.75" customHeight="1" x14ac:dyDescent="0.3">
      <c r="A79" t="s">
        <v>244</v>
      </c>
      <c r="B79">
        <v>619316</v>
      </c>
      <c r="C79" t="s">
        <v>245</v>
      </c>
      <c r="D79">
        <v>921865469550</v>
      </c>
      <c r="E79" t="s">
        <v>18</v>
      </c>
      <c r="F79" t="s">
        <v>19</v>
      </c>
      <c r="G79" t="s">
        <v>47</v>
      </c>
      <c r="H79" t="s">
        <v>70</v>
      </c>
      <c r="I79" t="s">
        <v>38</v>
      </c>
      <c r="J79" s="4">
        <v>360614.5</v>
      </c>
      <c r="K79" t="s">
        <v>98</v>
      </c>
      <c r="L79" s="1">
        <v>45250</v>
      </c>
      <c r="M79" t="s">
        <v>24</v>
      </c>
      <c r="N79" s="4">
        <v>202394.12</v>
      </c>
      <c r="O79" t="s">
        <v>25</v>
      </c>
      <c r="P79" t="str">
        <f t="shared" si="1"/>
        <v>2023-11</v>
      </c>
    </row>
    <row r="80" spans="1:16" ht="15.75" customHeight="1" x14ac:dyDescent="0.3">
      <c r="A80" t="s">
        <v>246</v>
      </c>
      <c r="B80">
        <v>258410</v>
      </c>
      <c r="C80" t="s">
        <v>247</v>
      </c>
      <c r="D80">
        <v>668697508911</v>
      </c>
      <c r="E80" t="s">
        <v>18</v>
      </c>
      <c r="F80" t="s">
        <v>87</v>
      </c>
      <c r="G80" t="s">
        <v>47</v>
      </c>
      <c r="H80" t="s">
        <v>31</v>
      </c>
      <c r="I80" t="s">
        <v>53</v>
      </c>
      <c r="J80" s="4">
        <v>357995.77</v>
      </c>
      <c r="K80" t="s">
        <v>23</v>
      </c>
      <c r="L80" s="1">
        <v>45281</v>
      </c>
      <c r="M80" t="s">
        <v>24</v>
      </c>
      <c r="N80" s="4">
        <v>2153343.14</v>
      </c>
      <c r="O80" t="s">
        <v>25</v>
      </c>
      <c r="P80" t="str">
        <f t="shared" si="1"/>
        <v>2023-12</v>
      </c>
    </row>
    <row r="81" spans="1:16" ht="15.75" customHeight="1" x14ac:dyDescent="0.3">
      <c r="A81" t="s">
        <v>248</v>
      </c>
      <c r="B81">
        <v>683367</v>
      </c>
      <c r="C81" t="s">
        <v>249</v>
      </c>
      <c r="D81">
        <v>982009733970</v>
      </c>
      <c r="E81" t="s">
        <v>91</v>
      </c>
      <c r="F81" t="s">
        <v>130</v>
      </c>
      <c r="G81" t="s">
        <v>47</v>
      </c>
      <c r="H81" t="s">
        <v>31</v>
      </c>
      <c r="I81" t="s">
        <v>22</v>
      </c>
      <c r="J81" s="4">
        <v>352951.84</v>
      </c>
      <c r="K81" t="s">
        <v>32</v>
      </c>
      <c r="L81" s="1">
        <v>45245</v>
      </c>
      <c r="M81" t="s">
        <v>24</v>
      </c>
      <c r="N81" s="4">
        <v>1368075.07</v>
      </c>
      <c r="O81" t="s">
        <v>25</v>
      </c>
      <c r="P81" t="str">
        <f t="shared" si="1"/>
        <v>2023-11</v>
      </c>
    </row>
    <row r="82" spans="1:16" ht="15.75" customHeight="1" x14ac:dyDescent="0.3">
      <c r="A82" t="s">
        <v>250</v>
      </c>
      <c r="B82">
        <v>685188</v>
      </c>
      <c r="C82" t="s">
        <v>251</v>
      </c>
      <c r="D82">
        <v>440841637325</v>
      </c>
      <c r="E82" t="s">
        <v>91</v>
      </c>
      <c r="F82" t="s">
        <v>109</v>
      </c>
      <c r="G82" t="s">
        <v>47</v>
      </c>
      <c r="H82" t="s">
        <v>31</v>
      </c>
      <c r="I82" t="s">
        <v>48</v>
      </c>
      <c r="J82" s="4">
        <v>350133.78</v>
      </c>
      <c r="K82" t="s">
        <v>98</v>
      </c>
      <c r="L82" s="1">
        <v>45732</v>
      </c>
      <c r="M82" t="s">
        <v>24</v>
      </c>
      <c r="N82" s="4">
        <v>793311.08</v>
      </c>
      <c r="O82" t="s">
        <v>25</v>
      </c>
      <c r="P82" t="str">
        <f t="shared" si="1"/>
        <v>2025-03</v>
      </c>
    </row>
    <row r="83" spans="1:16" ht="15.75" customHeight="1" x14ac:dyDescent="0.3">
      <c r="A83" t="s">
        <v>252</v>
      </c>
      <c r="B83">
        <v>861387</v>
      </c>
      <c r="C83" t="s">
        <v>253</v>
      </c>
      <c r="D83">
        <v>206376466987</v>
      </c>
      <c r="E83" t="s">
        <v>35</v>
      </c>
      <c r="F83" t="s">
        <v>73</v>
      </c>
      <c r="G83" t="s">
        <v>47</v>
      </c>
      <c r="H83" t="s">
        <v>67</v>
      </c>
      <c r="I83" t="s">
        <v>48</v>
      </c>
      <c r="J83" s="4">
        <v>347787.5</v>
      </c>
      <c r="K83" t="s">
        <v>98</v>
      </c>
      <c r="L83" s="1">
        <v>45408</v>
      </c>
      <c r="M83" t="s">
        <v>113</v>
      </c>
      <c r="N83" s="4">
        <v>245310.82</v>
      </c>
      <c r="O83" t="s">
        <v>25</v>
      </c>
      <c r="P83" t="str">
        <f t="shared" si="1"/>
        <v>2024-04</v>
      </c>
    </row>
    <row r="84" spans="1:16" ht="15.75" customHeight="1" x14ac:dyDescent="0.3">
      <c r="A84" t="s">
        <v>254</v>
      </c>
      <c r="B84">
        <v>294793</v>
      </c>
      <c r="C84" t="s">
        <v>255</v>
      </c>
      <c r="D84">
        <v>396259742856</v>
      </c>
      <c r="E84" t="s">
        <v>64</v>
      </c>
      <c r="F84" t="s">
        <v>146</v>
      </c>
      <c r="G84" t="s">
        <v>47</v>
      </c>
      <c r="H84" t="s">
        <v>21</v>
      </c>
      <c r="I84" t="s">
        <v>48</v>
      </c>
      <c r="J84" s="4">
        <v>345920.42</v>
      </c>
      <c r="K84" t="s">
        <v>23</v>
      </c>
      <c r="L84" s="1">
        <v>45768</v>
      </c>
      <c r="M84" t="s">
        <v>24</v>
      </c>
      <c r="N84" s="4">
        <v>720514.71000000008</v>
      </c>
      <c r="O84" t="s">
        <v>25</v>
      </c>
      <c r="P84" t="str">
        <f t="shared" si="1"/>
        <v>2025-04</v>
      </c>
    </row>
    <row r="85" spans="1:16" ht="15.75" customHeight="1" x14ac:dyDescent="0.3">
      <c r="A85" t="s">
        <v>256</v>
      </c>
      <c r="B85">
        <v>163591</v>
      </c>
      <c r="C85" t="s">
        <v>257</v>
      </c>
      <c r="D85">
        <v>643282698177</v>
      </c>
      <c r="E85" t="s">
        <v>64</v>
      </c>
      <c r="F85" t="s">
        <v>177</v>
      </c>
      <c r="G85" t="s">
        <v>193</v>
      </c>
      <c r="H85" t="s">
        <v>21</v>
      </c>
      <c r="I85" t="s">
        <v>48</v>
      </c>
      <c r="J85" s="4">
        <v>343900.3</v>
      </c>
      <c r="K85" t="s">
        <v>39</v>
      </c>
      <c r="L85" s="1">
        <v>45280</v>
      </c>
      <c r="M85" t="s">
        <v>24</v>
      </c>
      <c r="N85" s="4">
        <v>1341143.01</v>
      </c>
      <c r="O85" t="s">
        <v>25</v>
      </c>
      <c r="P85" t="str">
        <f t="shared" si="1"/>
        <v>2023-12</v>
      </c>
    </row>
    <row r="86" spans="1:16" ht="15.75" customHeight="1" x14ac:dyDescent="0.3">
      <c r="A86" t="s">
        <v>258</v>
      </c>
      <c r="B86">
        <v>999369</v>
      </c>
      <c r="C86" t="s">
        <v>259</v>
      </c>
      <c r="D86">
        <v>693909368952</v>
      </c>
      <c r="E86" t="s">
        <v>35</v>
      </c>
      <c r="F86" t="s">
        <v>73</v>
      </c>
      <c r="G86" t="s">
        <v>193</v>
      </c>
      <c r="H86" t="s">
        <v>67</v>
      </c>
      <c r="I86" t="s">
        <v>38</v>
      </c>
      <c r="J86" s="4">
        <v>343331.26</v>
      </c>
      <c r="K86" t="s">
        <v>49</v>
      </c>
      <c r="L86" s="1">
        <v>45567</v>
      </c>
      <c r="M86" t="s">
        <v>24</v>
      </c>
      <c r="N86" s="4">
        <v>1568873.7</v>
      </c>
      <c r="O86" t="s">
        <v>179</v>
      </c>
      <c r="P86" t="str">
        <f t="shared" si="1"/>
        <v>2024-10</v>
      </c>
    </row>
    <row r="87" spans="1:16" ht="15.75" customHeight="1" x14ac:dyDescent="0.3">
      <c r="A87" t="s">
        <v>260</v>
      </c>
      <c r="B87">
        <v>436075</v>
      </c>
      <c r="C87" t="s">
        <v>261</v>
      </c>
      <c r="D87">
        <v>405209357833</v>
      </c>
      <c r="E87" t="s">
        <v>28</v>
      </c>
      <c r="F87" t="s">
        <v>29</v>
      </c>
      <c r="G87" t="s">
        <v>193</v>
      </c>
      <c r="H87" t="s">
        <v>31</v>
      </c>
      <c r="I87" t="s">
        <v>53</v>
      </c>
      <c r="J87" s="4">
        <v>342882.13</v>
      </c>
      <c r="K87" t="s">
        <v>39</v>
      </c>
      <c r="L87" s="1">
        <v>45475</v>
      </c>
      <c r="M87" t="s">
        <v>24</v>
      </c>
      <c r="N87" s="4">
        <v>231828.22</v>
      </c>
      <c r="O87" t="s">
        <v>25</v>
      </c>
      <c r="P87" t="str">
        <f t="shared" si="1"/>
        <v>2024-07</v>
      </c>
    </row>
    <row r="88" spans="1:16" ht="15.75" customHeight="1" x14ac:dyDescent="0.3">
      <c r="A88" t="s">
        <v>262</v>
      </c>
      <c r="B88">
        <v>246445</v>
      </c>
      <c r="C88" t="s">
        <v>263</v>
      </c>
      <c r="D88">
        <v>626901044244</v>
      </c>
      <c r="E88" t="s">
        <v>35</v>
      </c>
      <c r="F88" t="s">
        <v>36</v>
      </c>
      <c r="G88" t="s">
        <v>193</v>
      </c>
      <c r="H88" t="s">
        <v>67</v>
      </c>
      <c r="I88" t="s">
        <v>53</v>
      </c>
      <c r="J88" s="4">
        <v>342352.78</v>
      </c>
      <c r="K88" t="s">
        <v>23</v>
      </c>
      <c r="L88" s="1">
        <v>45773</v>
      </c>
      <c r="M88" t="s">
        <v>24</v>
      </c>
      <c r="N88" s="4">
        <v>759841.91999999993</v>
      </c>
      <c r="O88" t="s">
        <v>25</v>
      </c>
      <c r="P88" t="str">
        <f t="shared" si="1"/>
        <v>2025-04</v>
      </c>
    </row>
    <row r="89" spans="1:16" ht="15.75" customHeight="1" x14ac:dyDescent="0.3">
      <c r="A89" t="s">
        <v>264</v>
      </c>
      <c r="B89">
        <v>649852</v>
      </c>
      <c r="C89" t="s">
        <v>265</v>
      </c>
      <c r="D89">
        <v>360164842230</v>
      </c>
      <c r="E89" t="s">
        <v>28</v>
      </c>
      <c r="F89" t="s">
        <v>150</v>
      </c>
      <c r="G89" t="s">
        <v>193</v>
      </c>
      <c r="H89" t="s">
        <v>70</v>
      </c>
      <c r="I89" t="s">
        <v>53</v>
      </c>
      <c r="J89" s="4">
        <v>342132.86</v>
      </c>
      <c r="K89" t="s">
        <v>49</v>
      </c>
      <c r="L89" s="1">
        <v>45708</v>
      </c>
      <c r="M89" t="s">
        <v>24</v>
      </c>
      <c r="N89" s="4">
        <v>1878459.02</v>
      </c>
      <c r="O89" t="s">
        <v>25</v>
      </c>
      <c r="P89" t="str">
        <f t="shared" si="1"/>
        <v>2025-02</v>
      </c>
    </row>
    <row r="90" spans="1:16" ht="15.75" customHeight="1" x14ac:dyDescent="0.3">
      <c r="A90" t="s">
        <v>266</v>
      </c>
      <c r="B90">
        <v>846632</v>
      </c>
      <c r="C90" t="s">
        <v>267</v>
      </c>
      <c r="D90">
        <v>791650643766</v>
      </c>
      <c r="E90" t="s">
        <v>35</v>
      </c>
      <c r="F90" t="s">
        <v>136</v>
      </c>
      <c r="G90" t="s">
        <v>193</v>
      </c>
      <c r="H90" t="s">
        <v>31</v>
      </c>
      <c r="I90" t="s">
        <v>38</v>
      </c>
      <c r="J90" s="4">
        <v>338467.95</v>
      </c>
      <c r="K90" t="s">
        <v>23</v>
      </c>
      <c r="L90" s="1">
        <v>45128</v>
      </c>
      <c r="M90" t="s">
        <v>24</v>
      </c>
      <c r="N90" s="4">
        <v>80849.75</v>
      </c>
      <c r="O90" t="s">
        <v>25</v>
      </c>
      <c r="P90" t="str">
        <f t="shared" si="1"/>
        <v>2023-07</v>
      </c>
    </row>
    <row r="91" spans="1:16" ht="15.75" customHeight="1" x14ac:dyDescent="0.3">
      <c r="A91" t="s">
        <v>268</v>
      </c>
      <c r="B91">
        <v>426604</v>
      </c>
      <c r="C91" t="s">
        <v>269</v>
      </c>
      <c r="D91">
        <v>694508992835</v>
      </c>
      <c r="E91" t="s">
        <v>28</v>
      </c>
      <c r="F91" t="s">
        <v>29</v>
      </c>
      <c r="G91" t="s">
        <v>193</v>
      </c>
      <c r="H91" t="s">
        <v>21</v>
      </c>
      <c r="I91" t="s">
        <v>22</v>
      </c>
      <c r="J91" s="4">
        <v>336060.86</v>
      </c>
      <c r="K91" t="s">
        <v>98</v>
      </c>
      <c r="L91" s="1">
        <v>45779</v>
      </c>
      <c r="M91" t="s">
        <v>24</v>
      </c>
      <c r="N91" s="4">
        <v>2162794.13</v>
      </c>
      <c r="O91" t="s">
        <v>25</v>
      </c>
      <c r="P91" t="str">
        <f t="shared" si="1"/>
        <v>2025-05</v>
      </c>
    </row>
    <row r="92" spans="1:16" ht="15.75" customHeight="1" x14ac:dyDescent="0.3">
      <c r="A92" t="s">
        <v>270</v>
      </c>
      <c r="B92">
        <v>944525</v>
      </c>
      <c r="C92" t="s">
        <v>271</v>
      </c>
      <c r="D92">
        <v>109856223455</v>
      </c>
      <c r="E92" t="s">
        <v>64</v>
      </c>
      <c r="F92" t="s">
        <v>146</v>
      </c>
      <c r="G92" t="s">
        <v>193</v>
      </c>
      <c r="H92" t="s">
        <v>21</v>
      </c>
      <c r="I92" t="s">
        <v>48</v>
      </c>
      <c r="J92" s="4">
        <v>334428.89</v>
      </c>
      <c r="K92" t="s">
        <v>32</v>
      </c>
      <c r="L92" s="1">
        <v>45548</v>
      </c>
      <c r="M92" t="s">
        <v>24</v>
      </c>
      <c r="N92" s="4">
        <v>971684.35</v>
      </c>
      <c r="O92" t="s">
        <v>25</v>
      </c>
      <c r="P92" t="str">
        <f t="shared" si="1"/>
        <v>2024-09</v>
      </c>
    </row>
    <row r="93" spans="1:16" ht="15.75" customHeight="1" x14ac:dyDescent="0.3">
      <c r="A93" t="s">
        <v>272</v>
      </c>
      <c r="B93">
        <v>592501</v>
      </c>
      <c r="C93" t="s">
        <v>273</v>
      </c>
      <c r="D93">
        <v>699404858667</v>
      </c>
      <c r="E93" t="s">
        <v>28</v>
      </c>
      <c r="F93" t="s">
        <v>150</v>
      </c>
      <c r="G93" t="s">
        <v>193</v>
      </c>
      <c r="H93" t="s">
        <v>67</v>
      </c>
      <c r="I93" t="s">
        <v>48</v>
      </c>
      <c r="J93" s="4">
        <v>333457.7</v>
      </c>
      <c r="K93" t="s">
        <v>98</v>
      </c>
      <c r="L93" s="1">
        <v>45453</v>
      </c>
      <c r="M93" t="s">
        <v>24</v>
      </c>
      <c r="N93" s="4">
        <v>1603555.77</v>
      </c>
      <c r="O93" t="s">
        <v>25</v>
      </c>
      <c r="P93" t="str">
        <f t="shared" si="1"/>
        <v>2024-06</v>
      </c>
    </row>
    <row r="94" spans="1:16" ht="15.75" customHeight="1" x14ac:dyDescent="0.3">
      <c r="A94" t="s">
        <v>274</v>
      </c>
      <c r="B94">
        <v>768984</v>
      </c>
      <c r="C94" t="s">
        <v>275</v>
      </c>
      <c r="D94">
        <v>208342410757</v>
      </c>
      <c r="E94" t="s">
        <v>35</v>
      </c>
      <c r="F94" t="s">
        <v>73</v>
      </c>
      <c r="G94" t="s">
        <v>193</v>
      </c>
      <c r="H94" t="s">
        <v>31</v>
      </c>
      <c r="I94" t="s">
        <v>48</v>
      </c>
      <c r="J94" s="4">
        <v>332941.88</v>
      </c>
      <c r="K94" t="s">
        <v>98</v>
      </c>
      <c r="L94" s="1">
        <v>45329</v>
      </c>
      <c r="M94" t="s">
        <v>24</v>
      </c>
      <c r="N94" s="4">
        <v>853283.80999999994</v>
      </c>
      <c r="O94" t="s">
        <v>25</v>
      </c>
      <c r="P94" t="str">
        <f t="shared" si="1"/>
        <v>2024-02</v>
      </c>
    </row>
    <row r="95" spans="1:16" ht="15.75" customHeight="1" x14ac:dyDescent="0.3">
      <c r="A95" t="s">
        <v>276</v>
      </c>
      <c r="B95">
        <v>531859</v>
      </c>
      <c r="C95" t="s">
        <v>277</v>
      </c>
      <c r="D95">
        <v>640702669526</v>
      </c>
      <c r="E95" t="s">
        <v>64</v>
      </c>
      <c r="F95" t="s">
        <v>177</v>
      </c>
      <c r="G95" t="s">
        <v>193</v>
      </c>
      <c r="H95" t="s">
        <v>70</v>
      </c>
      <c r="I95" t="s">
        <v>48</v>
      </c>
      <c r="J95" s="4">
        <v>332407.67</v>
      </c>
      <c r="K95" t="s">
        <v>39</v>
      </c>
      <c r="L95" s="1">
        <v>45394</v>
      </c>
      <c r="M95" t="s">
        <v>24</v>
      </c>
      <c r="N95" s="4">
        <v>899951.25</v>
      </c>
      <c r="O95" t="s">
        <v>25</v>
      </c>
      <c r="P95" t="str">
        <f t="shared" si="1"/>
        <v>2024-04</v>
      </c>
    </row>
    <row r="96" spans="1:16" ht="15.75" customHeight="1" x14ac:dyDescent="0.3">
      <c r="A96" t="s">
        <v>278</v>
      </c>
      <c r="B96">
        <v>405881</v>
      </c>
      <c r="C96" t="s">
        <v>279</v>
      </c>
      <c r="D96">
        <v>976230686799</v>
      </c>
      <c r="E96" t="s">
        <v>64</v>
      </c>
      <c r="F96" t="s">
        <v>65</v>
      </c>
      <c r="G96" t="s">
        <v>193</v>
      </c>
      <c r="H96" t="s">
        <v>31</v>
      </c>
      <c r="I96" t="s">
        <v>38</v>
      </c>
      <c r="J96" s="4">
        <v>331287.71999999997</v>
      </c>
      <c r="K96" t="s">
        <v>98</v>
      </c>
      <c r="L96" s="1">
        <v>45321</v>
      </c>
      <c r="M96" t="s">
        <v>24</v>
      </c>
      <c r="N96" s="4">
        <v>1330639.23</v>
      </c>
      <c r="O96" t="s">
        <v>25</v>
      </c>
      <c r="P96" t="str">
        <f t="shared" si="1"/>
        <v>2024-01</v>
      </c>
    </row>
    <row r="97" spans="1:16" ht="15.75" customHeight="1" x14ac:dyDescent="0.3">
      <c r="A97" t="s">
        <v>280</v>
      </c>
      <c r="B97">
        <v>286469</v>
      </c>
      <c r="C97" t="s">
        <v>281</v>
      </c>
      <c r="D97">
        <v>605825525973</v>
      </c>
      <c r="E97" t="s">
        <v>28</v>
      </c>
      <c r="F97" t="s">
        <v>216</v>
      </c>
      <c r="G97" t="s">
        <v>193</v>
      </c>
      <c r="H97" t="s">
        <v>31</v>
      </c>
      <c r="I97" t="s">
        <v>38</v>
      </c>
      <c r="J97" s="4">
        <v>329340.40999999997</v>
      </c>
      <c r="K97" t="s">
        <v>23</v>
      </c>
      <c r="L97" s="1">
        <v>45299</v>
      </c>
      <c r="M97" t="s">
        <v>24</v>
      </c>
      <c r="N97" s="4">
        <v>1518701.76</v>
      </c>
      <c r="O97" t="s">
        <v>25</v>
      </c>
      <c r="P97" t="str">
        <f t="shared" si="1"/>
        <v>2024-01</v>
      </c>
    </row>
    <row r="98" spans="1:16" ht="15.75" customHeight="1" x14ac:dyDescent="0.3">
      <c r="A98" t="s">
        <v>282</v>
      </c>
      <c r="B98">
        <v>182726</v>
      </c>
      <c r="C98" t="s">
        <v>283</v>
      </c>
      <c r="D98">
        <v>915362443565</v>
      </c>
      <c r="E98" t="s">
        <v>35</v>
      </c>
      <c r="F98" t="s">
        <v>36</v>
      </c>
      <c r="G98" t="s">
        <v>193</v>
      </c>
      <c r="H98" t="s">
        <v>67</v>
      </c>
      <c r="I98" t="s">
        <v>48</v>
      </c>
      <c r="J98" s="4">
        <v>321922.8</v>
      </c>
      <c r="K98" t="s">
        <v>98</v>
      </c>
      <c r="L98" s="1">
        <v>45248</v>
      </c>
      <c r="M98" t="s">
        <v>24</v>
      </c>
      <c r="N98" s="4">
        <v>318250.03999999998</v>
      </c>
      <c r="O98" t="s">
        <v>25</v>
      </c>
      <c r="P98" t="str">
        <f t="shared" si="1"/>
        <v>2023-11</v>
      </c>
    </row>
    <row r="99" spans="1:16" ht="15.75" customHeight="1" x14ac:dyDescent="0.3">
      <c r="A99" t="s">
        <v>284</v>
      </c>
      <c r="B99">
        <v>584031</v>
      </c>
      <c r="C99" t="s">
        <v>285</v>
      </c>
      <c r="D99">
        <v>858729220350</v>
      </c>
      <c r="E99" t="s">
        <v>18</v>
      </c>
      <c r="F99" t="s">
        <v>46</v>
      </c>
      <c r="G99" t="s">
        <v>193</v>
      </c>
      <c r="H99" t="s">
        <v>31</v>
      </c>
      <c r="I99" t="s">
        <v>22</v>
      </c>
      <c r="J99" s="4">
        <v>320272.01</v>
      </c>
      <c r="K99" t="s">
        <v>39</v>
      </c>
      <c r="L99" s="1">
        <v>45580</v>
      </c>
      <c r="M99" t="s">
        <v>24</v>
      </c>
      <c r="N99" s="4">
        <v>275766.65999999997</v>
      </c>
      <c r="O99" t="s">
        <v>179</v>
      </c>
      <c r="P99" t="str">
        <f t="shared" si="1"/>
        <v>2024-10</v>
      </c>
    </row>
    <row r="100" spans="1:16" ht="15.75" customHeight="1" x14ac:dyDescent="0.3">
      <c r="A100" t="s">
        <v>286</v>
      </c>
      <c r="B100">
        <v>518914</v>
      </c>
      <c r="C100" t="s">
        <v>287</v>
      </c>
      <c r="D100">
        <v>741907644425</v>
      </c>
      <c r="E100" t="s">
        <v>91</v>
      </c>
      <c r="F100" t="s">
        <v>130</v>
      </c>
      <c r="G100" t="s">
        <v>193</v>
      </c>
      <c r="H100" t="s">
        <v>70</v>
      </c>
      <c r="I100" t="s">
        <v>53</v>
      </c>
      <c r="J100" s="4">
        <v>314411.17</v>
      </c>
      <c r="K100" t="s">
        <v>49</v>
      </c>
      <c r="L100" s="1">
        <v>45450</v>
      </c>
      <c r="M100" t="s">
        <v>24</v>
      </c>
      <c r="N100" s="4">
        <v>1767810</v>
      </c>
      <c r="O100" t="s">
        <v>25</v>
      </c>
      <c r="P100" t="str">
        <f t="shared" si="1"/>
        <v>2024-06</v>
      </c>
    </row>
    <row r="101" spans="1:16" ht="15.75" customHeight="1" x14ac:dyDescent="0.3">
      <c r="A101" t="s">
        <v>288</v>
      </c>
      <c r="B101">
        <v>737238</v>
      </c>
      <c r="C101" t="s">
        <v>289</v>
      </c>
      <c r="D101">
        <v>184804419951</v>
      </c>
      <c r="E101" t="s">
        <v>35</v>
      </c>
      <c r="F101" t="s">
        <v>36</v>
      </c>
      <c r="G101" t="s">
        <v>193</v>
      </c>
      <c r="H101" t="s">
        <v>67</v>
      </c>
      <c r="I101" t="s">
        <v>48</v>
      </c>
      <c r="J101" s="4">
        <v>307632.5</v>
      </c>
      <c r="K101" t="s">
        <v>49</v>
      </c>
      <c r="L101" s="1">
        <v>45742</v>
      </c>
      <c r="M101" t="s">
        <v>24</v>
      </c>
      <c r="N101" s="4">
        <v>1732815.58</v>
      </c>
      <c r="O101" t="s">
        <v>25</v>
      </c>
      <c r="P101" t="str">
        <f t="shared" si="1"/>
        <v>2025-03</v>
      </c>
    </row>
    <row r="102" spans="1:16" ht="15.75" customHeight="1" x14ac:dyDescent="0.3">
      <c r="A102" t="s">
        <v>290</v>
      </c>
      <c r="B102">
        <v>460707</v>
      </c>
      <c r="C102" t="s">
        <v>291</v>
      </c>
      <c r="D102">
        <v>503436480030</v>
      </c>
      <c r="E102" t="s">
        <v>18</v>
      </c>
      <c r="F102" t="s">
        <v>156</v>
      </c>
      <c r="G102" t="s">
        <v>193</v>
      </c>
      <c r="H102" t="s">
        <v>21</v>
      </c>
      <c r="I102" t="s">
        <v>48</v>
      </c>
      <c r="J102" s="4">
        <v>306121.71000000002</v>
      </c>
      <c r="K102" t="s">
        <v>98</v>
      </c>
      <c r="L102" s="1">
        <v>45392</v>
      </c>
      <c r="M102" t="s">
        <v>24</v>
      </c>
      <c r="N102" s="4">
        <v>1938830.27</v>
      </c>
      <c r="O102" t="s">
        <v>25</v>
      </c>
      <c r="P102" t="str">
        <f t="shared" si="1"/>
        <v>2024-04</v>
      </c>
    </row>
    <row r="103" spans="1:16" ht="15.75" customHeight="1" x14ac:dyDescent="0.3">
      <c r="A103" t="s">
        <v>292</v>
      </c>
      <c r="B103">
        <v>408467</v>
      </c>
      <c r="C103" t="s">
        <v>293</v>
      </c>
      <c r="D103">
        <v>443440313367</v>
      </c>
      <c r="E103" t="s">
        <v>28</v>
      </c>
      <c r="F103" t="s">
        <v>150</v>
      </c>
      <c r="G103" t="s">
        <v>193</v>
      </c>
      <c r="H103" t="s">
        <v>70</v>
      </c>
      <c r="I103" t="s">
        <v>48</v>
      </c>
      <c r="J103" s="4">
        <v>306077.19</v>
      </c>
      <c r="K103" t="s">
        <v>98</v>
      </c>
      <c r="L103" s="1">
        <v>45715</v>
      </c>
      <c r="M103" t="s">
        <v>24</v>
      </c>
      <c r="N103" s="4">
        <v>909536.89</v>
      </c>
      <c r="O103" t="s">
        <v>25</v>
      </c>
      <c r="P103" t="str">
        <f t="shared" si="1"/>
        <v>2025-02</v>
      </c>
    </row>
    <row r="104" spans="1:16" ht="15.75" customHeight="1" x14ac:dyDescent="0.3">
      <c r="A104" t="s">
        <v>294</v>
      </c>
      <c r="B104">
        <v>544498</v>
      </c>
      <c r="C104" t="s">
        <v>295</v>
      </c>
      <c r="D104">
        <v>823134970926</v>
      </c>
      <c r="E104" t="s">
        <v>64</v>
      </c>
      <c r="F104" t="s">
        <v>83</v>
      </c>
      <c r="G104" t="s">
        <v>193</v>
      </c>
      <c r="H104" t="s">
        <v>21</v>
      </c>
      <c r="I104" t="s">
        <v>38</v>
      </c>
      <c r="J104" s="4">
        <v>305720.05</v>
      </c>
      <c r="K104" t="s">
        <v>98</v>
      </c>
      <c r="L104" s="1">
        <v>45318</v>
      </c>
      <c r="M104" t="s">
        <v>24</v>
      </c>
      <c r="N104" s="4">
        <v>908547.25</v>
      </c>
      <c r="O104" t="s">
        <v>25</v>
      </c>
      <c r="P104" t="str">
        <f t="shared" si="1"/>
        <v>2024-01</v>
      </c>
    </row>
    <row r="105" spans="1:16" ht="15.75" customHeight="1" x14ac:dyDescent="0.3">
      <c r="A105" t="s">
        <v>296</v>
      </c>
      <c r="B105">
        <v>621252</v>
      </c>
      <c r="C105" t="s">
        <v>297</v>
      </c>
      <c r="D105">
        <v>319436377684</v>
      </c>
      <c r="E105" t="s">
        <v>35</v>
      </c>
      <c r="F105" t="s">
        <v>42</v>
      </c>
      <c r="G105" t="s">
        <v>193</v>
      </c>
      <c r="H105" t="s">
        <v>70</v>
      </c>
      <c r="I105" t="s">
        <v>48</v>
      </c>
      <c r="J105" s="4">
        <v>305297.37</v>
      </c>
      <c r="K105" t="s">
        <v>32</v>
      </c>
      <c r="L105" s="1">
        <v>45818</v>
      </c>
      <c r="M105" t="s">
        <v>24</v>
      </c>
      <c r="N105" s="4">
        <v>1663818.17</v>
      </c>
      <c r="O105" t="s">
        <v>25</v>
      </c>
      <c r="P105" t="str">
        <f t="shared" si="1"/>
        <v>2025-06</v>
      </c>
    </row>
    <row r="106" spans="1:16" ht="15.75" customHeight="1" x14ac:dyDescent="0.3">
      <c r="A106" t="s">
        <v>298</v>
      </c>
      <c r="B106">
        <v>726225</v>
      </c>
      <c r="C106" t="s">
        <v>299</v>
      </c>
      <c r="D106">
        <v>262242868098</v>
      </c>
      <c r="E106" t="s">
        <v>91</v>
      </c>
      <c r="F106" t="s">
        <v>109</v>
      </c>
      <c r="G106" t="s">
        <v>193</v>
      </c>
      <c r="H106" t="s">
        <v>70</v>
      </c>
      <c r="I106" t="s">
        <v>22</v>
      </c>
      <c r="J106" s="4">
        <v>294460.92</v>
      </c>
      <c r="K106" t="s">
        <v>98</v>
      </c>
      <c r="L106" s="1">
        <v>45301</v>
      </c>
      <c r="M106" t="s">
        <v>24</v>
      </c>
      <c r="N106" s="4">
        <v>2200135.6800000002</v>
      </c>
      <c r="O106" t="s">
        <v>25</v>
      </c>
      <c r="P106" t="str">
        <f t="shared" si="1"/>
        <v>2024-01</v>
      </c>
    </row>
    <row r="107" spans="1:16" ht="15.75" customHeight="1" x14ac:dyDescent="0.3">
      <c r="A107" t="s">
        <v>300</v>
      </c>
      <c r="B107">
        <v>434987</v>
      </c>
      <c r="C107" t="s">
        <v>301</v>
      </c>
      <c r="D107">
        <v>513922347721</v>
      </c>
      <c r="E107" t="s">
        <v>18</v>
      </c>
      <c r="F107" t="s">
        <v>19</v>
      </c>
      <c r="G107" t="s">
        <v>147</v>
      </c>
      <c r="H107" t="s">
        <v>70</v>
      </c>
      <c r="I107" t="s">
        <v>22</v>
      </c>
      <c r="J107" s="4">
        <v>290735.08</v>
      </c>
      <c r="K107" t="s">
        <v>98</v>
      </c>
      <c r="L107" s="1">
        <v>45836</v>
      </c>
      <c r="M107" t="s">
        <v>24</v>
      </c>
      <c r="N107" s="4">
        <v>1982268</v>
      </c>
      <c r="O107" t="s">
        <v>25</v>
      </c>
      <c r="P107" t="str">
        <f t="shared" si="1"/>
        <v>2025-06</v>
      </c>
    </row>
    <row r="108" spans="1:16" ht="15.75" customHeight="1" x14ac:dyDescent="0.3">
      <c r="A108" t="s">
        <v>302</v>
      </c>
      <c r="B108">
        <v>718531</v>
      </c>
      <c r="C108" t="s">
        <v>303</v>
      </c>
      <c r="D108">
        <v>904962141704</v>
      </c>
      <c r="E108" t="s">
        <v>91</v>
      </c>
      <c r="F108" t="s">
        <v>105</v>
      </c>
      <c r="G108" t="s">
        <v>147</v>
      </c>
      <c r="H108" t="s">
        <v>21</v>
      </c>
      <c r="I108" t="s">
        <v>38</v>
      </c>
      <c r="J108" s="4">
        <v>290578.13</v>
      </c>
      <c r="K108" t="s">
        <v>32</v>
      </c>
      <c r="L108" s="1">
        <v>45203</v>
      </c>
      <c r="M108" t="s">
        <v>24</v>
      </c>
      <c r="N108" s="4">
        <v>531027.1</v>
      </c>
      <c r="O108" t="s">
        <v>25</v>
      </c>
      <c r="P108" t="str">
        <f t="shared" si="1"/>
        <v>2023-10</v>
      </c>
    </row>
    <row r="109" spans="1:16" ht="15.75" customHeight="1" x14ac:dyDescent="0.3">
      <c r="A109" t="s">
        <v>304</v>
      </c>
      <c r="B109">
        <v>692379</v>
      </c>
      <c r="C109" t="s">
        <v>305</v>
      </c>
      <c r="D109">
        <v>488415133220</v>
      </c>
      <c r="E109" t="s">
        <v>91</v>
      </c>
      <c r="F109" t="s">
        <v>162</v>
      </c>
      <c r="G109" t="s">
        <v>147</v>
      </c>
      <c r="H109" t="s">
        <v>21</v>
      </c>
      <c r="I109" t="s">
        <v>53</v>
      </c>
      <c r="J109" s="4">
        <v>287661.89</v>
      </c>
      <c r="K109" t="s">
        <v>23</v>
      </c>
      <c r="L109" s="1">
        <v>45432</v>
      </c>
      <c r="M109" t="s">
        <v>24</v>
      </c>
      <c r="N109" s="4">
        <v>754321.82000000007</v>
      </c>
      <c r="O109" t="s">
        <v>25</v>
      </c>
      <c r="P109" t="str">
        <f t="shared" si="1"/>
        <v>2024-05</v>
      </c>
    </row>
    <row r="110" spans="1:16" ht="15.75" customHeight="1" x14ac:dyDescent="0.3">
      <c r="A110" t="s">
        <v>306</v>
      </c>
      <c r="B110">
        <v>533757</v>
      </c>
      <c r="C110" t="s">
        <v>307</v>
      </c>
      <c r="D110">
        <v>197930940390</v>
      </c>
      <c r="E110" t="s">
        <v>18</v>
      </c>
      <c r="F110" t="s">
        <v>87</v>
      </c>
      <c r="G110" t="s">
        <v>147</v>
      </c>
      <c r="H110" t="s">
        <v>70</v>
      </c>
      <c r="I110" t="s">
        <v>53</v>
      </c>
      <c r="J110" s="4">
        <v>286156.07</v>
      </c>
      <c r="K110" t="s">
        <v>23</v>
      </c>
      <c r="L110" s="1">
        <v>45618</v>
      </c>
      <c r="M110" t="s">
        <v>24</v>
      </c>
      <c r="N110" s="4">
        <v>943785.49</v>
      </c>
      <c r="O110" t="s">
        <v>25</v>
      </c>
      <c r="P110" t="str">
        <f t="shared" si="1"/>
        <v>2024-11</v>
      </c>
    </row>
    <row r="111" spans="1:16" ht="15.75" customHeight="1" x14ac:dyDescent="0.3">
      <c r="A111" t="s">
        <v>308</v>
      </c>
      <c r="B111">
        <v>317781</v>
      </c>
      <c r="C111" t="s">
        <v>309</v>
      </c>
      <c r="D111">
        <v>689762479864</v>
      </c>
      <c r="E111" t="s">
        <v>35</v>
      </c>
      <c r="F111" t="s">
        <v>60</v>
      </c>
      <c r="G111" t="s">
        <v>147</v>
      </c>
      <c r="H111" t="s">
        <v>21</v>
      </c>
      <c r="I111" t="s">
        <v>38</v>
      </c>
      <c r="J111" s="4">
        <v>285994.06</v>
      </c>
      <c r="K111" t="s">
        <v>49</v>
      </c>
      <c r="L111" s="1">
        <v>45254</v>
      </c>
      <c r="M111" t="s">
        <v>24</v>
      </c>
      <c r="N111" s="4">
        <v>211768.29</v>
      </c>
      <c r="O111" t="s">
        <v>25</v>
      </c>
      <c r="P111" t="str">
        <f t="shared" si="1"/>
        <v>2023-11</v>
      </c>
    </row>
    <row r="112" spans="1:16" ht="15.75" customHeight="1" x14ac:dyDescent="0.3">
      <c r="A112" t="s">
        <v>310</v>
      </c>
      <c r="B112">
        <v>409256</v>
      </c>
      <c r="C112" t="s">
        <v>311</v>
      </c>
      <c r="D112">
        <v>616978136350</v>
      </c>
      <c r="E112" t="s">
        <v>28</v>
      </c>
      <c r="F112" t="s">
        <v>192</v>
      </c>
      <c r="G112" t="s">
        <v>147</v>
      </c>
      <c r="H112" t="s">
        <v>67</v>
      </c>
      <c r="I112" t="s">
        <v>53</v>
      </c>
      <c r="J112" s="4">
        <v>285270.90000000002</v>
      </c>
      <c r="K112" t="s">
        <v>49</v>
      </c>
      <c r="L112" s="1">
        <v>45505</v>
      </c>
      <c r="M112" t="s">
        <v>113</v>
      </c>
      <c r="N112" s="4">
        <v>899053.12</v>
      </c>
      <c r="O112" t="s">
        <v>25</v>
      </c>
      <c r="P112" t="str">
        <f t="shared" si="1"/>
        <v>2024-08</v>
      </c>
    </row>
    <row r="113" spans="1:16" ht="15.75" customHeight="1" x14ac:dyDescent="0.3">
      <c r="A113" t="s">
        <v>312</v>
      </c>
      <c r="B113">
        <v>850255</v>
      </c>
      <c r="C113" t="s">
        <v>313</v>
      </c>
      <c r="D113">
        <v>989289734142</v>
      </c>
      <c r="E113" t="s">
        <v>64</v>
      </c>
      <c r="F113" t="s">
        <v>146</v>
      </c>
      <c r="G113" t="s">
        <v>147</v>
      </c>
      <c r="H113" t="s">
        <v>67</v>
      </c>
      <c r="I113" t="s">
        <v>38</v>
      </c>
      <c r="J113" s="4">
        <v>284384.93</v>
      </c>
      <c r="K113" t="s">
        <v>49</v>
      </c>
      <c r="L113" s="1">
        <v>45580</v>
      </c>
      <c r="M113" t="s">
        <v>24</v>
      </c>
      <c r="N113" s="4">
        <v>1690157.48</v>
      </c>
      <c r="O113" t="s">
        <v>25</v>
      </c>
      <c r="P113" t="str">
        <f t="shared" si="1"/>
        <v>2024-10</v>
      </c>
    </row>
    <row r="114" spans="1:16" ht="15.75" customHeight="1" x14ac:dyDescent="0.3">
      <c r="A114" t="s">
        <v>314</v>
      </c>
      <c r="B114">
        <v>678961</v>
      </c>
      <c r="C114" t="s">
        <v>315</v>
      </c>
      <c r="D114">
        <v>353294394784</v>
      </c>
      <c r="E114" t="s">
        <v>35</v>
      </c>
      <c r="F114" t="s">
        <v>42</v>
      </c>
      <c r="G114" t="s">
        <v>147</v>
      </c>
      <c r="H114" t="s">
        <v>21</v>
      </c>
      <c r="I114" t="s">
        <v>53</v>
      </c>
      <c r="J114" s="4">
        <v>282561.71999999997</v>
      </c>
      <c r="K114" t="s">
        <v>23</v>
      </c>
      <c r="L114" s="1">
        <v>45502</v>
      </c>
      <c r="M114" t="s">
        <v>24</v>
      </c>
      <c r="N114" s="4">
        <v>613416.06000000006</v>
      </c>
      <c r="O114" t="s">
        <v>25</v>
      </c>
      <c r="P114" t="str">
        <f t="shared" si="1"/>
        <v>2024-07</v>
      </c>
    </row>
    <row r="115" spans="1:16" ht="15.75" customHeight="1" x14ac:dyDescent="0.3">
      <c r="A115" t="s">
        <v>316</v>
      </c>
      <c r="B115">
        <v>172992</v>
      </c>
      <c r="C115" t="s">
        <v>317</v>
      </c>
      <c r="D115">
        <v>879867008186</v>
      </c>
      <c r="E115" t="s">
        <v>91</v>
      </c>
      <c r="F115" t="s">
        <v>109</v>
      </c>
      <c r="G115" t="s">
        <v>147</v>
      </c>
      <c r="H115" t="s">
        <v>31</v>
      </c>
      <c r="I115" t="s">
        <v>38</v>
      </c>
      <c r="J115" s="4">
        <v>282229.52</v>
      </c>
      <c r="K115" t="s">
        <v>49</v>
      </c>
      <c r="L115" s="1">
        <v>45461</v>
      </c>
      <c r="M115" t="s">
        <v>24</v>
      </c>
      <c r="N115" s="4">
        <v>1837709.49</v>
      </c>
      <c r="O115" t="s">
        <v>25</v>
      </c>
      <c r="P115" t="str">
        <f t="shared" si="1"/>
        <v>2024-06</v>
      </c>
    </row>
    <row r="116" spans="1:16" ht="15.75" customHeight="1" x14ac:dyDescent="0.3">
      <c r="A116" t="s">
        <v>318</v>
      </c>
      <c r="B116">
        <v>618099</v>
      </c>
      <c r="C116" t="s">
        <v>319</v>
      </c>
      <c r="D116">
        <v>346427521349</v>
      </c>
      <c r="E116" t="s">
        <v>35</v>
      </c>
      <c r="F116" t="s">
        <v>60</v>
      </c>
      <c r="G116" t="s">
        <v>147</v>
      </c>
      <c r="H116" t="s">
        <v>31</v>
      </c>
      <c r="I116" t="s">
        <v>53</v>
      </c>
      <c r="J116" s="4">
        <v>281600.58</v>
      </c>
      <c r="K116" t="s">
        <v>49</v>
      </c>
      <c r="L116" s="1">
        <v>45299</v>
      </c>
      <c r="M116" t="s">
        <v>24</v>
      </c>
      <c r="N116" s="4">
        <v>1085277.28</v>
      </c>
      <c r="O116" t="s">
        <v>25</v>
      </c>
      <c r="P116" t="str">
        <f t="shared" si="1"/>
        <v>2024-01</v>
      </c>
    </row>
    <row r="117" spans="1:16" ht="15.75" customHeight="1" x14ac:dyDescent="0.3">
      <c r="A117" t="s">
        <v>320</v>
      </c>
      <c r="B117">
        <v>245396</v>
      </c>
      <c r="C117" t="s">
        <v>321</v>
      </c>
      <c r="D117">
        <v>142582750102</v>
      </c>
      <c r="E117" t="s">
        <v>91</v>
      </c>
      <c r="F117" t="s">
        <v>130</v>
      </c>
      <c r="G117" t="s">
        <v>147</v>
      </c>
      <c r="H117" t="s">
        <v>21</v>
      </c>
      <c r="I117" t="s">
        <v>48</v>
      </c>
      <c r="J117" s="4">
        <v>278744.09999999998</v>
      </c>
      <c r="K117" t="s">
        <v>39</v>
      </c>
      <c r="L117" s="1">
        <v>45568</v>
      </c>
      <c r="M117" t="s">
        <v>24</v>
      </c>
      <c r="N117" s="4">
        <v>509167.84</v>
      </c>
      <c r="O117" t="s">
        <v>25</v>
      </c>
      <c r="P117" t="str">
        <f t="shared" si="1"/>
        <v>2024-10</v>
      </c>
    </row>
    <row r="118" spans="1:16" ht="15.75" customHeight="1" x14ac:dyDescent="0.3">
      <c r="A118" t="s">
        <v>322</v>
      </c>
      <c r="B118">
        <v>396948</v>
      </c>
      <c r="C118" t="s">
        <v>323</v>
      </c>
      <c r="D118">
        <v>847152245069</v>
      </c>
      <c r="E118" t="s">
        <v>28</v>
      </c>
      <c r="F118" t="s">
        <v>150</v>
      </c>
      <c r="G118" t="s">
        <v>147</v>
      </c>
      <c r="H118" t="s">
        <v>31</v>
      </c>
      <c r="I118" t="s">
        <v>22</v>
      </c>
      <c r="J118" s="4">
        <v>277196.03000000003</v>
      </c>
      <c r="K118" t="s">
        <v>98</v>
      </c>
      <c r="L118" s="1">
        <v>45762</v>
      </c>
      <c r="M118" t="s">
        <v>24</v>
      </c>
      <c r="N118" s="4">
        <v>521060.94</v>
      </c>
      <c r="O118" t="s">
        <v>25</v>
      </c>
      <c r="P118" t="str">
        <f t="shared" si="1"/>
        <v>2025-04</v>
      </c>
    </row>
    <row r="119" spans="1:16" ht="15.75" customHeight="1" x14ac:dyDescent="0.3">
      <c r="A119" t="s">
        <v>324</v>
      </c>
      <c r="B119">
        <v>627945</v>
      </c>
      <c r="C119" t="s">
        <v>325</v>
      </c>
      <c r="D119">
        <v>952800653604</v>
      </c>
      <c r="E119" t="s">
        <v>64</v>
      </c>
      <c r="F119" t="s">
        <v>146</v>
      </c>
      <c r="G119" t="s">
        <v>147</v>
      </c>
      <c r="H119" t="s">
        <v>67</v>
      </c>
      <c r="I119" t="s">
        <v>48</v>
      </c>
      <c r="J119" s="4">
        <v>276312.31</v>
      </c>
      <c r="K119" t="s">
        <v>49</v>
      </c>
      <c r="L119" s="1">
        <v>45170</v>
      </c>
      <c r="M119" t="s">
        <v>24</v>
      </c>
      <c r="N119" s="4">
        <v>1221345.6499999999</v>
      </c>
      <c r="O119" t="s">
        <v>25</v>
      </c>
      <c r="P119" t="str">
        <f t="shared" si="1"/>
        <v>2023-09</v>
      </c>
    </row>
    <row r="120" spans="1:16" ht="15.75" customHeight="1" x14ac:dyDescent="0.3">
      <c r="A120" t="s">
        <v>326</v>
      </c>
      <c r="B120">
        <v>439411</v>
      </c>
      <c r="C120" t="s">
        <v>327</v>
      </c>
      <c r="D120">
        <v>802999451859</v>
      </c>
      <c r="E120" t="s">
        <v>35</v>
      </c>
      <c r="F120" t="s">
        <v>73</v>
      </c>
      <c r="G120" t="s">
        <v>147</v>
      </c>
      <c r="H120" t="s">
        <v>70</v>
      </c>
      <c r="I120" t="s">
        <v>53</v>
      </c>
      <c r="J120" s="4">
        <v>274718.28000000003</v>
      </c>
      <c r="K120" t="s">
        <v>49</v>
      </c>
      <c r="L120" s="1">
        <v>45514</v>
      </c>
      <c r="M120" t="s">
        <v>24</v>
      </c>
      <c r="N120" s="4">
        <v>1191424.69</v>
      </c>
      <c r="O120" t="s">
        <v>25</v>
      </c>
      <c r="P120" t="str">
        <f t="shared" si="1"/>
        <v>2024-08</v>
      </c>
    </row>
    <row r="121" spans="1:16" ht="15.75" customHeight="1" x14ac:dyDescent="0.3">
      <c r="A121" t="s">
        <v>328</v>
      </c>
      <c r="B121">
        <v>900676</v>
      </c>
      <c r="C121" t="s">
        <v>329</v>
      </c>
      <c r="D121">
        <v>980417793826</v>
      </c>
      <c r="E121" t="s">
        <v>28</v>
      </c>
      <c r="F121" t="s">
        <v>192</v>
      </c>
      <c r="G121" t="s">
        <v>147</v>
      </c>
      <c r="H121" t="s">
        <v>31</v>
      </c>
      <c r="I121" t="s">
        <v>53</v>
      </c>
      <c r="J121" s="4">
        <v>274709.48</v>
      </c>
      <c r="K121" t="s">
        <v>39</v>
      </c>
      <c r="L121" s="1">
        <v>45464</v>
      </c>
      <c r="M121" t="s">
        <v>24</v>
      </c>
      <c r="N121" s="4">
        <v>1054990.6399999999</v>
      </c>
      <c r="O121" t="s">
        <v>25</v>
      </c>
      <c r="P121" t="str">
        <f t="shared" si="1"/>
        <v>2024-06</v>
      </c>
    </row>
    <row r="122" spans="1:16" ht="15.75" customHeight="1" x14ac:dyDescent="0.3">
      <c r="A122" t="s">
        <v>330</v>
      </c>
      <c r="B122">
        <v>843102</v>
      </c>
      <c r="C122" t="s">
        <v>331</v>
      </c>
      <c r="D122">
        <v>920697483092</v>
      </c>
      <c r="E122" t="s">
        <v>64</v>
      </c>
      <c r="F122" t="s">
        <v>83</v>
      </c>
      <c r="G122" t="s">
        <v>147</v>
      </c>
      <c r="H122" t="s">
        <v>67</v>
      </c>
      <c r="I122" t="s">
        <v>22</v>
      </c>
      <c r="J122" s="4">
        <v>273414.65999999997</v>
      </c>
      <c r="K122" t="s">
        <v>98</v>
      </c>
      <c r="L122" s="1">
        <v>45839</v>
      </c>
      <c r="M122" t="s">
        <v>24</v>
      </c>
      <c r="N122" s="4">
        <v>274117.08</v>
      </c>
      <c r="O122" t="s">
        <v>25</v>
      </c>
      <c r="P122" t="str">
        <f t="shared" si="1"/>
        <v>2025-07</v>
      </c>
    </row>
    <row r="123" spans="1:16" ht="15.75" customHeight="1" x14ac:dyDescent="0.3">
      <c r="A123" t="s">
        <v>332</v>
      </c>
      <c r="B123">
        <v>181978</v>
      </c>
      <c r="C123" t="s">
        <v>333</v>
      </c>
      <c r="D123">
        <v>440778300689</v>
      </c>
      <c r="E123" t="s">
        <v>18</v>
      </c>
      <c r="F123" t="s">
        <v>87</v>
      </c>
      <c r="G123" t="s">
        <v>147</v>
      </c>
      <c r="H123" t="s">
        <v>21</v>
      </c>
      <c r="I123" t="s">
        <v>22</v>
      </c>
      <c r="J123" s="4">
        <v>273026.71000000002</v>
      </c>
      <c r="K123" t="s">
        <v>32</v>
      </c>
      <c r="L123" s="1">
        <v>45476</v>
      </c>
      <c r="M123" t="s">
        <v>24</v>
      </c>
      <c r="N123" s="4">
        <v>2155021.19</v>
      </c>
      <c r="O123" t="s">
        <v>25</v>
      </c>
      <c r="P123" t="str">
        <f t="shared" si="1"/>
        <v>2024-07</v>
      </c>
    </row>
    <row r="124" spans="1:16" ht="15.75" customHeight="1" x14ac:dyDescent="0.3">
      <c r="A124" t="s">
        <v>334</v>
      </c>
      <c r="B124">
        <v>948408</v>
      </c>
      <c r="C124" t="s">
        <v>335</v>
      </c>
      <c r="D124">
        <v>176675428770</v>
      </c>
      <c r="E124" t="s">
        <v>28</v>
      </c>
      <c r="F124" t="s">
        <v>192</v>
      </c>
      <c r="G124" t="s">
        <v>147</v>
      </c>
      <c r="H124" t="s">
        <v>31</v>
      </c>
      <c r="I124" t="s">
        <v>53</v>
      </c>
      <c r="J124" s="4">
        <v>272401.31</v>
      </c>
      <c r="K124" t="s">
        <v>49</v>
      </c>
      <c r="L124" s="1">
        <v>45614</v>
      </c>
      <c r="M124" t="s">
        <v>24</v>
      </c>
      <c r="N124" s="4">
        <v>1771612.81</v>
      </c>
      <c r="O124" t="s">
        <v>25</v>
      </c>
      <c r="P124" t="str">
        <f t="shared" si="1"/>
        <v>2024-11</v>
      </c>
    </row>
    <row r="125" spans="1:16" ht="15.75" customHeight="1" x14ac:dyDescent="0.3">
      <c r="A125" t="s">
        <v>336</v>
      </c>
      <c r="B125">
        <v>524156</v>
      </c>
      <c r="C125" t="s">
        <v>337</v>
      </c>
      <c r="D125">
        <v>300442436792</v>
      </c>
      <c r="E125" t="s">
        <v>91</v>
      </c>
      <c r="F125" t="s">
        <v>162</v>
      </c>
      <c r="G125" t="s">
        <v>147</v>
      </c>
      <c r="H125" t="s">
        <v>67</v>
      </c>
      <c r="I125" t="s">
        <v>22</v>
      </c>
      <c r="J125" s="4">
        <v>271432.19</v>
      </c>
      <c r="K125" t="s">
        <v>32</v>
      </c>
      <c r="L125" s="1">
        <v>45745</v>
      </c>
      <c r="M125" t="s">
        <v>113</v>
      </c>
      <c r="N125" s="4">
        <v>807658.13000000012</v>
      </c>
      <c r="O125" t="s">
        <v>25</v>
      </c>
      <c r="P125" t="str">
        <f t="shared" si="1"/>
        <v>2025-03</v>
      </c>
    </row>
    <row r="126" spans="1:16" ht="15.75" customHeight="1" x14ac:dyDescent="0.3">
      <c r="A126" t="s">
        <v>338</v>
      </c>
      <c r="B126">
        <v>223350</v>
      </c>
      <c r="C126" t="s">
        <v>339</v>
      </c>
      <c r="D126">
        <v>650905653791</v>
      </c>
      <c r="E126" t="s">
        <v>28</v>
      </c>
      <c r="F126" t="s">
        <v>150</v>
      </c>
      <c r="G126" t="s">
        <v>147</v>
      </c>
      <c r="H126" t="s">
        <v>67</v>
      </c>
      <c r="I126" t="s">
        <v>53</v>
      </c>
      <c r="J126" s="4">
        <v>270490.09999999998</v>
      </c>
      <c r="K126" t="s">
        <v>49</v>
      </c>
      <c r="L126" s="1">
        <v>45408</v>
      </c>
      <c r="M126" t="s">
        <v>24</v>
      </c>
      <c r="N126" s="4">
        <v>1048411.65</v>
      </c>
      <c r="O126" t="s">
        <v>25</v>
      </c>
      <c r="P126" t="str">
        <f t="shared" si="1"/>
        <v>2024-04</v>
      </c>
    </row>
    <row r="127" spans="1:16" ht="15.75" customHeight="1" x14ac:dyDescent="0.3">
      <c r="A127" t="s">
        <v>340</v>
      </c>
      <c r="B127">
        <v>860759</v>
      </c>
      <c r="C127" t="s">
        <v>341</v>
      </c>
      <c r="D127">
        <v>274518043942</v>
      </c>
      <c r="E127" t="s">
        <v>91</v>
      </c>
      <c r="F127" t="s">
        <v>130</v>
      </c>
      <c r="G127" t="s">
        <v>147</v>
      </c>
      <c r="H127" t="s">
        <v>67</v>
      </c>
      <c r="I127" t="s">
        <v>48</v>
      </c>
      <c r="J127" s="4">
        <v>269846.56</v>
      </c>
      <c r="K127" t="s">
        <v>23</v>
      </c>
      <c r="L127" s="1">
        <v>45591</v>
      </c>
      <c r="M127" t="s">
        <v>24</v>
      </c>
      <c r="N127" s="4">
        <v>2103522.29</v>
      </c>
      <c r="O127" t="s">
        <v>25</v>
      </c>
      <c r="P127" t="str">
        <f t="shared" si="1"/>
        <v>2024-10</v>
      </c>
    </row>
    <row r="128" spans="1:16" ht="15.75" customHeight="1" x14ac:dyDescent="0.3">
      <c r="A128" t="s">
        <v>342</v>
      </c>
      <c r="B128">
        <v>275035</v>
      </c>
      <c r="C128" t="s">
        <v>343</v>
      </c>
      <c r="D128">
        <v>880276020182</v>
      </c>
      <c r="E128" t="s">
        <v>18</v>
      </c>
      <c r="F128" t="s">
        <v>19</v>
      </c>
      <c r="G128" t="s">
        <v>147</v>
      </c>
      <c r="H128" t="s">
        <v>21</v>
      </c>
      <c r="I128" t="s">
        <v>53</v>
      </c>
      <c r="J128" s="4">
        <v>269429.23</v>
      </c>
      <c r="K128" t="s">
        <v>49</v>
      </c>
      <c r="L128" s="1">
        <v>45724</v>
      </c>
      <c r="M128" t="s">
        <v>24</v>
      </c>
      <c r="N128" s="4">
        <v>727378.75</v>
      </c>
      <c r="O128" t="s">
        <v>25</v>
      </c>
      <c r="P128" t="str">
        <f t="shared" si="1"/>
        <v>2025-03</v>
      </c>
    </row>
    <row r="129" spans="1:16" ht="15.75" customHeight="1" x14ac:dyDescent="0.3">
      <c r="A129" t="s">
        <v>344</v>
      </c>
      <c r="B129">
        <v>946700</v>
      </c>
      <c r="C129" t="s">
        <v>345</v>
      </c>
      <c r="D129">
        <v>444007230901</v>
      </c>
      <c r="E129" t="s">
        <v>18</v>
      </c>
      <c r="F129" t="s">
        <v>156</v>
      </c>
      <c r="G129" t="s">
        <v>147</v>
      </c>
      <c r="H129" t="s">
        <v>21</v>
      </c>
      <c r="I129" t="s">
        <v>48</v>
      </c>
      <c r="J129" s="4">
        <v>267487.64</v>
      </c>
      <c r="K129" t="s">
        <v>39</v>
      </c>
      <c r="L129" s="1">
        <v>45620</v>
      </c>
      <c r="M129" t="s">
        <v>24</v>
      </c>
      <c r="N129" s="4">
        <v>1655537.9</v>
      </c>
      <c r="O129" t="s">
        <v>25</v>
      </c>
      <c r="P129" t="str">
        <f t="shared" si="1"/>
        <v>2024-11</v>
      </c>
    </row>
    <row r="130" spans="1:16" ht="15.75" customHeight="1" x14ac:dyDescent="0.3">
      <c r="A130" t="s">
        <v>346</v>
      </c>
      <c r="B130">
        <v>334468</v>
      </c>
      <c r="C130" t="s">
        <v>347</v>
      </c>
      <c r="D130">
        <v>799839515528</v>
      </c>
      <c r="E130" t="s">
        <v>64</v>
      </c>
      <c r="F130" t="s">
        <v>65</v>
      </c>
      <c r="G130" t="s">
        <v>110</v>
      </c>
      <c r="H130" t="s">
        <v>31</v>
      </c>
      <c r="I130" t="s">
        <v>48</v>
      </c>
      <c r="J130" s="4">
        <v>266228.63</v>
      </c>
      <c r="K130" t="s">
        <v>32</v>
      </c>
      <c r="L130" s="1">
        <v>45232</v>
      </c>
      <c r="M130" t="s">
        <v>24</v>
      </c>
      <c r="N130" s="4">
        <v>1472571.22</v>
      </c>
      <c r="O130" t="s">
        <v>25</v>
      </c>
      <c r="P130" t="str">
        <f t="shared" si="1"/>
        <v>2023-11</v>
      </c>
    </row>
    <row r="131" spans="1:16" ht="15.75" customHeight="1" x14ac:dyDescent="0.3">
      <c r="A131" t="s">
        <v>348</v>
      </c>
      <c r="B131">
        <v>774637</v>
      </c>
      <c r="C131" t="s">
        <v>349</v>
      </c>
      <c r="D131">
        <v>431080009450</v>
      </c>
      <c r="E131" t="s">
        <v>64</v>
      </c>
      <c r="F131" t="s">
        <v>65</v>
      </c>
      <c r="G131" t="s">
        <v>110</v>
      </c>
      <c r="H131" t="s">
        <v>21</v>
      </c>
      <c r="I131" t="s">
        <v>22</v>
      </c>
      <c r="J131" s="4">
        <v>265513.02</v>
      </c>
      <c r="K131" t="s">
        <v>39</v>
      </c>
      <c r="L131" s="1">
        <v>45406</v>
      </c>
      <c r="M131" t="s">
        <v>24</v>
      </c>
      <c r="N131" s="4">
        <v>647570.24</v>
      </c>
      <c r="O131" t="s">
        <v>25</v>
      </c>
      <c r="P131" t="str">
        <f t="shared" ref="P131:P194" si="2">TEXT(L131,"yyyy-mm")</f>
        <v>2024-04</v>
      </c>
    </row>
    <row r="132" spans="1:16" ht="15.75" customHeight="1" x14ac:dyDescent="0.3">
      <c r="A132" t="s">
        <v>350</v>
      </c>
      <c r="B132">
        <v>851296</v>
      </c>
      <c r="C132" t="s">
        <v>351</v>
      </c>
      <c r="D132">
        <v>247431431877</v>
      </c>
      <c r="E132" t="s">
        <v>18</v>
      </c>
      <c r="F132" t="s">
        <v>56</v>
      </c>
      <c r="G132" t="s">
        <v>110</v>
      </c>
      <c r="H132" t="s">
        <v>67</v>
      </c>
      <c r="I132" t="s">
        <v>48</v>
      </c>
      <c r="J132" s="4">
        <v>264455.89</v>
      </c>
      <c r="K132" t="s">
        <v>32</v>
      </c>
      <c r="L132" s="1">
        <v>45120</v>
      </c>
      <c r="M132" t="s">
        <v>24</v>
      </c>
      <c r="N132" s="4">
        <v>1796676.19</v>
      </c>
      <c r="O132" t="s">
        <v>25</v>
      </c>
      <c r="P132" t="str">
        <f t="shared" si="2"/>
        <v>2023-07</v>
      </c>
    </row>
    <row r="133" spans="1:16" ht="15.75" customHeight="1" x14ac:dyDescent="0.3">
      <c r="A133" t="s">
        <v>352</v>
      </c>
      <c r="B133">
        <v>322365</v>
      </c>
      <c r="C133" t="s">
        <v>353</v>
      </c>
      <c r="D133">
        <v>265051585781</v>
      </c>
      <c r="E133" t="s">
        <v>35</v>
      </c>
      <c r="F133" t="s">
        <v>42</v>
      </c>
      <c r="G133" t="s">
        <v>110</v>
      </c>
      <c r="H133" t="s">
        <v>70</v>
      </c>
      <c r="I133" t="s">
        <v>38</v>
      </c>
      <c r="J133" s="4">
        <v>263485.11</v>
      </c>
      <c r="K133" t="s">
        <v>49</v>
      </c>
      <c r="L133" s="1">
        <v>45441</v>
      </c>
      <c r="M133" t="s">
        <v>24</v>
      </c>
      <c r="N133" s="4">
        <v>1542002.49</v>
      </c>
      <c r="O133" t="s">
        <v>25</v>
      </c>
      <c r="P133" t="str">
        <f t="shared" si="2"/>
        <v>2024-05</v>
      </c>
    </row>
    <row r="134" spans="1:16" ht="15.75" customHeight="1" x14ac:dyDescent="0.3">
      <c r="A134" t="s">
        <v>354</v>
      </c>
      <c r="B134">
        <v>935644</v>
      </c>
      <c r="C134" t="s">
        <v>355</v>
      </c>
      <c r="D134">
        <v>177523340140</v>
      </c>
      <c r="E134" t="s">
        <v>35</v>
      </c>
      <c r="F134" t="s">
        <v>136</v>
      </c>
      <c r="G134" t="s">
        <v>110</v>
      </c>
      <c r="H134" t="s">
        <v>21</v>
      </c>
      <c r="I134" t="s">
        <v>22</v>
      </c>
      <c r="J134" s="4">
        <v>263052.93</v>
      </c>
      <c r="K134" t="s">
        <v>32</v>
      </c>
      <c r="L134" s="1">
        <v>45698</v>
      </c>
      <c r="M134" t="s">
        <v>113</v>
      </c>
      <c r="N134" s="4">
        <v>1639467.16</v>
      </c>
      <c r="O134" t="s">
        <v>25</v>
      </c>
      <c r="P134" t="str">
        <f t="shared" si="2"/>
        <v>2025-02</v>
      </c>
    </row>
    <row r="135" spans="1:16" ht="15.75" customHeight="1" x14ac:dyDescent="0.3">
      <c r="A135" t="s">
        <v>356</v>
      </c>
      <c r="B135">
        <v>945657</v>
      </c>
      <c r="C135" t="s">
        <v>357</v>
      </c>
      <c r="D135">
        <v>792853366341</v>
      </c>
      <c r="E135" t="s">
        <v>91</v>
      </c>
      <c r="F135" t="s">
        <v>105</v>
      </c>
      <c r="G135" t="s">
        <v>110</v>
      </c>
      <c r="H135" t="s">
        <v>31</v>
      </c>
      <c r="I135" t="s">
        <v>48</v>
      </c>
      <c r="J135" s="4">
        <v>262020.46</v>
      </c>
      <c r="K135" t="s">
        <v>49</v>
      </c>
      <c r="L135" s="1">
        <v>45563</v>
      </c>
      <c r="M135" t="s">
        <v>24</v>
      </c>
      <c r="N135" s="4">
        <v>1811889.41</v>
      </c>
      <c r="O135" t="s">
        <v>25</v>
      </c>
      <c r="P135" t="str">
        <f t="shared" si="2"/>
        <v>2024-09</v>
      </c>
    </row>
    <row r="136" spans="1:16" ht="15.75" customHeight="1" x14ac:dyDescent="0.3">
      <c r="A136" t="s">
        <v>358</v>
      </c>
      <c r="B136">
        <v>752028</v>
      </c>
      <c r="C136" t="s">
        <v>359</v>
      </c>
      <c r="D136">
        <v>805666817485</v>
      </c>
      <c r="E136" t="s">
        <v>18</v>
      </c>
      <c r="F136" t="s">
        <v>156</v>
      </c>
      <c r="G136" t="s">
        <v>110</v>
      </c>
      <c r="H136" t="s">
        <v>70</v>
      </c>
      <c r="I136" t="s">
        <v>48</v>
      </c>
      <c r="J136" s="4">
        <v>259407.8</v>
      </c>
      <c r="K136" t="s">
        <v>23</v>
      </c>
      <c r="L136" s="1">
        <v>45358</v>
      </c>
      <c r="M136" t="s">
        <v>24</v>
      </c>
      <c r="N136" s="4">
        <v>1391066.47</v>
      </c>
      <c r="O136" t="s">
        <v>25</v>
      </c>
      <c r="P136" t="str">
        <f t="shared" si="2"/>
        <v>2024-03</v>
      </c>
    </row>
    <row r="137" spans="1:16" ht="15.75" customHeight="1" x14ac:dyDescent="0.3">
      <c r="A137" t="s">
        <v>360</v>
      </c>
      <c r="B137">
        <v>751030</v>
      </c>
      <c r="C137" t="s">
        <v>361</v>
      </c>
      <c r="D137">
        <v>990579280992</v>
      </c>
      <c r="E137" t="s">
        <v>64</v>
      </c>
      <c r="F137" t="s">
        <v>65</v>
      </c>
      <c r="G137" t="s">
        <v>110</v>
      </c>
      <c r="H137" t="s">
        <v>70</v>
      </c>
      <c r="I137" t="s">
        <v>22</v>
      </c>
      <c r="J137" s="4">
        <v>259387.62</v>
      </c>
      <c r="K137" t="s">
        <v>98</v>
      </c>
      <c r="L137" s="1">
        <v>45749</v>
      </c>
      <c r="M137" t="s">
        <v>24</v>
      </c>
      <c r="N137" s="4">
        <v>1574601.6</v>
      </c>
      <c r="O137" t="s">
        <v>25</v>
      </c>
      <c r="P137" t="str">
        <f t="shared" si="2"/>
        <v>2025-04</v>
      </c>
    </row>
    <row r="138" spans="1:16" ht="15.75" customHeight="1" x14ac:dyDescent="0.3">
      <c r="A138" t="s">
        <v>362</v>
      </c>
      <c r="B138">
        <v>728256</v>
      </c>
      <c r="C138" t="s">
        <v>363</v>
      </c>
      <c r="D138">
        <v>824494447566</v>
      </c>
      <c r="E138" t="s">
        <v>18</v>
      </c>
      <c r="F138" t="s">
        <v>19</v>
      </c>
      <c r="G138" t="s">
        <v>110</v>
      </c>
      <c r="H138" t="s">
        <v>67</v>
      </c>
      <c r="I138" t="s">
        <v>38</v>
      </c>
      <c r="J138" s="4">
        <v>259278.23</v>
      </c>
      <c r="K138" t="s">
        <v>39</v>
      </c>
      <c r="L138" s="1">
        <v>45536</v>
      </c>
      <c r="M138" t="s">
        <v>24</v>
      </c>
      <c r="N138" s="4">
        <v>1439911.83</v>
      </c>
      <c r="O138" t="s">
        <v>25</v>
      </c>
      <c r="P138" t="str">
        <f t="shared" si="2"/>
        <v>2024-09</v>
      </c>
    </row>
    <row r="139" spans="1:16" ht="15.75" customHeight="1" x14ac:dyDescent="0.3">
      <c r="A139" t="s">
        <v>364</v>
      </c>
      <c r="B139">
        <v>647407</v>
      </c>
      <c r="C139" t="s">
        <v>365</v>
      </c>
      <c r="D139">
        <v>859240583067</v>
      </c>
      <c r="E139" t="s">
        <v>91</v>
      </c>
      <c r="F139" t="s">
        <v>130</v>
      </c>
      <c r="G139" t="s">
        <v>110</v>
      </c>
      <c r="H139" t="s">
        <v>67</v>
      </c>
      <c r="I139" t="s">
        <v>48</v>
      </c>
      <c r="J139" s="4">
        <v>257896.04</v>
      </c>
      <c r="K139" t="s">
        <v>49</v>
      </c>
      <c r="L139" s="1">
        <v>45330</v>
      </c>
      <c r="M139" t="s">
        <v>24</v>
      </c>
      <c r="N139" s="4">
        <v>1363525.22</v>
      </c>
      <c r="O139" t="s">
        <v>25</v>
      </c>
      <c r="P139" t="str">
        <f t="shared" si="2"/>
        <v>2024-02</v>
      </c>
    </row>
    <row r="140" spans="1:16" ht="15.75" customHeight="1" x14ac:dyDescent="0.3">
      <c r="A140" t="s">
        <v>366</v>
      </c>
      <c r="B140">
        <v>564962</v>
      </c>
      <c r="C140" t="s">
        <v>367</v>
      </c>
      <c r="D140">
        <v>462554663247</v>
      </c>
      <c r="E140" t="s">
        <v>35</v>
      </c>
      <c r="F140" t="s">
        <v>36</v>
      </c>
      <c r="G140" t="s">
        <v>110</v>
      </c>
      <c r="H140" t="s">
        <v>31</v>
      </c>
      <c r="I140" t="s">
        <v>38</v>
      </c>
      <c r="J140" s="4">
        <v>256573.7</v>
      </c>
      <c r="K140" t="s">
        <v>39</v>
      </c>
      <c r="L140" s="1">
        <v>45186</v>
      </c>
      <c r="M140" t="s">
        <v>24</v>
      </c>
      <c r="N140" s="4">
        <v>1821809.35</v>
      </c>
      <c r="O140" t="s">
        <v>25</v>
      </c>
      <c r="P140" t="str">
        <f t="shared" si="2"/>
        <v>2023-09</v>
      </c>
    </row>
    <row r="141" spans="1:16" ht="15.75" customHeight="1" x14ac:dyDescent="0.3">
      <c r="A141" t="s">
        <v>368</v>
      </c>
      <c r="B141">
        <v>772937</v>
      </c>
      <c r="C141" t="s">
        <v>369</v>
      </c>
      <c r="D141">
        <v>424979154506</v>
      </c>
      <c r="E141" t="s">
        <v>35</v>
      </c>
      <c r="F141" t="s">
        <v>60</v>
      </c>
      <c r="G141" t="s">
        <v>110</v>
      </c>
      <c r="H141" t="s">
        <v>31</v>
      </c>
      <c r="I141" t="s">
        <v>53</v>
      </c>
      <c r="J141" s="4">
        <v>254514.65</v>
      </c>
      <c r="K141" t="s">
        <v>32</v>
      </c>
      <c r="L141" s="1">
        <v>45252</v>
      </c>
      <c r="M141" t="s">
        <v>24</v>
      </c>
      <c r="N141" s="4">
        <v>1050564.5900000001</v>
      </c>
      <c r="O141" t="s">
        <v>25</v>
      </c>
      <c r="P141" t="str">
        <f t="shared" si="2"/>
        <v>2023-11</v>
      </c>
    </row>
    <row r="142" spans="1:16" ht="15.75" customHeight="1" x14ac:dyDescent="0.3">
      <c r="A142" t="s">
        <v>370</v>
      </c>
      <c r="B142">
        <v>653047</v>
      </c>
      <c r="C142" t="s">
        <v>371</v>
      </c>
      <c r="D142">
        <v>594804478063</v>
      </c>
      <c r="E142" t="s">
        <v>64</v>
      </c>
      <c r="F142" t="s">
        <v>146</v>
      </c>
      <c r="G142" t="s">
        <v>110</v>
      </c>
      <c r="H142" t="s">
        <v>70</v>
      </c>
      <c r="I142" t="s">
        <v>53</v>
      </c>
      <c r="J142" s="4">
        <v>254430.23</v>
      </c>
      <c r="K142" t="s">
        <v>23</v>
      </c>
      <c r="L142" s="1">
        <v>45791</v>
      </c>
      <c r="M142" t="s">
        <v>24</v>
      </c>
      <c r="N142" s="4">
        <v>1940977.35</v>
      </c>
      <c r="O142" t="s">
        <v>179</v>
      </c>
      <c r="P142" t="str">
        <f t="shared" si="2"/>
        <v>2025-05</v>
      </c>
    </row>
    <row r="143" spans="1:16" ht="15.75" customHeight="1" x14ac:dyDescent="0.3">
      <c r="A143" t="s">
        <v>372</v>
      </c>
      <c r="B143">
        <v>866889</v>
      </c>
      <c r="C143" t="s">
        <v>373</v>
      </c>
      <c r="D143">
        <v>200258397818</v>
      </c>
      <c r="E143" t="s">
        <v>28</v>
      </c>
      <c r="F143" t="s">
        <v>192</v>
      </c>
      <c r="G143" t="s">
        <v>110</v>
      </c>
      <c r="H143" t="s">
        <v>31</v>
      </c>
      <c r="I143" t="s">
        <v>22</v>
      </c>
      <c r="J143" s="4">
        <v>253021.62</v>
      </c>
      <c r="K143" t="s">
        <v>32</v>
      </c>
      <c r="L143" s="1">
        <v>45238</v>
      </c>
      <c r="M143" t="s">
        <v>24</v>
      </c>
      <c r="N143" s="4">
        <v>1370478.57</v>
      </c>
      <c r="O143" t="s">
        <v>25</v>
      </c>
      <c r="P143" t="str">
        <f t="shared" si="2"/>
        <v>2023-11</v>
      </c>
    </row>
    <row r="144" spans="1:16" ht="15.75" customHeight="1" x14ac:dyDescent="0.3">
      <c r="A144" t="s">
        <v>374</v>
      </c>
      <c r="B144">
        <v>350891</v>
      </c>
      <c r="C144" t="s">
        <v>375</v>
      </c>
      <c r="D144">
        <v>554515895107</v>
      </c>
      <c r="E144" t="s">
        <v>18</v>
      </c>
      <c r="F144" t="s">
        <v>56</v>
      </c>
      <c r="G144" t="s">
        <v>110</v>
      </c>
      <c r="H144" t="s">
        <v>31</v>
      </c>
      <c r="I144" t="s">
        <v>48</v>
      </c>
      <c r="J144" s="4">
        <v>252952.49</v>
      </c>
      <c r="K144" t="s">
        <v>23</v>
      </c>
      <c r="L144" s="1">
        <v>45691</v>
      </c>
      <c r="M144" t="s">
        <v>24</v>
      </c>
      <c r="N144" s="4">
        <v>998213.89</v>
      </c>
      <c r="O144" t="s">
        <v>25</v>
      </c>
      <c r="P144" t="str">
        <f t="shared" si="2"/>
        <v>2025-02</v>
      </c>
    </row>
    <row r="145" spans="1:16" ht="15.75" customHeight="1" x14ac:dyDescent="0.3">
      <c r="A145" t="s">
        <v>376</v>
      </c>
      <c r="B145">
        <v>882580</v>
      </c>
      <c r="C145" t="s">
        <v>377</v>
      </c>
      <c r="D145">
        <v>551881289169</v>
      </c>
      <c r="E145" t="s">
        <v>91</v>
      </c>
      <c r="F145" t="s">
        <v>130</v>
      </c>
      <c r="G145" t="s">
        <v>110</v>
      </c>
      <c r="H145" t="s">
        <v>67</v>
      </c>
      <c r="I145" t="s">
        <v>38</v>
      </c>
      <c r="J145" s="4">
        <v>252929.01</v>
      </c>
      <c r="K145" t="s">
        <v>32</v>
      </c>
      <c r="L145" s="1">
        <v>45727</v>
      </c>
      <c r="M145" t="s">
        <v>24</v>
      </c>
      <c r="N145" s="4">
        <v>866095.88</v>
      </c>
      <c r="O145" t="s">
        <v>25</v>
      </c>
      <c r="P145" t="str">
        <f t="shared" si="2"/>
        <v>2025-03</v>
      </c>
    </row>
    <row r="146" spans="1:16" ht="15.75" customHeight="1" x14ac:dyDescent="0.3">
      <c r="A146" t="s">
        <v>378</v>
      </c>
      <c r="B146">
        <v>658908</v>
      </c>
      <c r="C146" t="s">
        <v>379</v>
      </c>
      <c r="D146">
        <v>432189750305</v>
      </c>
      <c r="E146" t="s">
        <v>18</v>
      </c>
      <c r="F146" t="s">
        <v>156</v>
      </c>
      <c r="G146" t="s">
        <v>110</v>
      </c>
      <c r="H146" t="s">
        <v>21</v>
      </c>
      <c r="I146" t="s">
        <v>48</v>
      </c>
      <c r="J146" s="4">
        <v>248672.35</v>
      </c>
      <c r="K146" t="s">
        <v>98</v>
      </c>
      <c r="L146" s="1">
        <v>45671</v>
      </c>
      <c r="M146" t="s">
        <v>24</v>
      </c>
      <c r="N146" s="4">
        <v>646653.53</v>
      </c>
      <c r="O146" t="s">
        <v>25</v>
      </c>
      <c r="P146" t="str">
        <f t="shared" si="2"/>
        <v>2025-01</v>
      </c>
    </row>
    <row r="147" spans="1:16" ht="15.75" customHeight="1" x14ac:dyDescent="0.3">
      <c r="A147" t="s">
        <v>380</v>
      </c>
      <c r="B147">
        <v>995453</v>
      </c>
      <c r="C147" t="s">
        <v>381</v>
      </c>
      <c r="D147">
        <v>548282814998</v>
      </c>
      <c r="E147" t="s">
        <v>35</v>
      </c>
      <c r="F147" t="s">
        <v>42</v>
      </c>
      <c r="G147" t="s">
        <v>110</v>
      </c>
      <c r="H147" t="s">
        <v>31</v>
      </c>
      <c r="I147" t="s">
        <v>53</v>
      </c>
      <c r="J147" s="4">
        <v>245014.75</v>
      </c>
      <c r="K147" t="s">
        <v>23</v>
      </c>
      <c r="L147" s="1">
        <v>45682</v>
      </c>
      <c r="M147" t="s">
        <v>24</v>
      </c>
      <c r="N147" s="4">
        <v>2048155.91</v>
      </c>
      <c r="O147" t="s">
        <v>25</v>
      </c>
      <c r="P147" t="str">
        <f t="shared" si="2"/>
        <v>2025-01</v>
      </c>
    </row>
    <row r="148" spans="1:16" ht="15.75" customHeight="1" x14ac:dyDescent="0.3">
      <c r="A148" t="s">
        <v>382</v>
      </c>
      <c r="B148">
        <v>481552</v>
      </c>
      <c r="C148" t="s">
        <v>383</v>
      </c>
      <c r="D148">
        <v>599383994938</v>
      </c>
      <c r="E148" t="s">
        <v>18</v>
      </c>
      <c r="F148" t="s">
        <v>46</v>
      </c>
      <c r="G148" t="s">
        <v>110</v>
      </c>
      <c r="H148" t="s">
        <v>21</v>
      </c>
      <c r="I148" t="s">
        <v>22</v>
      </c>
      <c r="J148" s="4">
        <v>244655.55</v>
      </c>
      <c r="K148" t="s">
        <v>39</v>
      </c>
      <c r="L148" s="1">
        <v>45122</v>
      </c>
      <c r="M148" t="s">
        <v>24</v>
      </c>
      <c r="N148" s="4">
        <v>1667932.38</v>
      </c>
      <c r="O148" t="s">
        <v>25</v>
      </c>
      <c r="P148" t="str">
        <f t="shared" si="2"/>
        <v>2023-07</v>
      </c>
    </row>
    <row r="149" spans="1:16" ht="15.75" customHeight="1" x14ac:dyDescent="0.3">
      <c r="A149" t="s">
        <v>384</v>
      </c>
      <c r="B149">
        <v>946300</v>
      </c>
      <c r="C149" t="s">
        <v>385</v>
      </c>
      <c r="D149">
        <v>118420256517</v>
      </c>
      <c r="E149" t="s">
        <v>18</v>
      </c>
      <c r="F149" t="s">
        <v>87</v>
      </c>
      <c r="G149" t="s">
        <v>110</v>
      </c>
      <c r="H149" t="s">
        <v>67</v>
      </c>
      <c r="I149" t="s">
        <v>38</v>
      </c>
      <c r="J149" s="4">
        <v>241267.85</v>
      </c>
      <c r="K149" t="s">
        <v>98</v>
      </c>
      <c r="L149" s="1">
        <v>45679</v>
      </c>
      <c r="M149" t="s">
        <v>24</v>
      </c>
      <c r="N149" s="4">
        <v>412865.25</v>
      </c>
      <c r="O149" t="s">
        <v>25</v>
      </c>
      <c r="P149" t="str">
        <f t="shared" si="2"/>
        <v>2025-01</v>
      </c>
    </row>
    <row r="150" spans="1:16" ht="15.75" customHeight="1" x14ac:dyDescent="0.3">
      <c r="A150" t="s">
        <v>386</v>
      </c>
      <c r="B150">
        <v>358049</v>
      </c>
      <c r="C150" t="s">
        <v>387</v>
      </c>
      <c r="D150">
        <v>499277122705</v>
      </c>
      <c r="E150" t="s">
        <v>35</v>
      </c>
      <c r="F150" t="s">
        <v>36</v>
      </c>
      <c r="G150" t="s">
        <v>110</v>
      </c>
      <c r="H150" t="s">
        <v>31</v>
      </c>
      <c r="I150" t="s">
        <v>53</v>
      </c>
      <c r="J150" s="4">
        <v>241180.65</v>
      </c>
      <c r="K150" t="s">
        <v>49</v>
      </c>
      <c r="L150" s="1">
        <v>45466</v>
      </c>
      <c r="M150" t="s">
        <v>24</v>
      </c>
      <c r="N150" s="4">
        <v>2345208.34</v>
      </c>
      <c r="O150" t="s">
        <v>25</v>
      </c>
      <c r="P150" t="str">
        <f t="shared" si="2"/>
        <v>2024-06</v>
      </c>
    </row>
    <row r="151" spans="1:16" ht="15.75" customHeight="1" x14ac:dyDescent="0.3">
      <c r="A151" t="s">
        <v>388</v>
      </c>
      <c r="B151">
        <v>579752</v>
      </c>
      <c r="C151" t="s">
        <v>389</v>
      </c>
      <c r="D151">
        <v>185223890909</v>
      </c>
      <c r="E151" t="s">
        <v>35</v>
      </c>
      <c r="F151" t="s">
        <v>73</v>
      </c>
      <c r="G151" t="s">
        <v>110</v>
      </c>
      <c r="H151" t="s">
        <v>70</v>
      </c>
      <c r="I151" t="s">
        <v>53</v>
      </c>
      <c r="J151" s="4">
        <v>239589.03</v>
      </c>
      <c r="K151" t="s">
        <v>32</v>
      </c>
      <c r="L151" s="1">
        <v>45153</v>
      </c>
      <c r="M151" t="s">
        <v>24</v>
      </c>
      <c r="N151" s="4">
        <v>164830.29999999999</v>
      </c>
      <c r="O151" t="s">
        <v>25</v>
      </c>
      <c r="P151" t="str">
        <f t="shared" si="2"/>
        <v>2023-08</v>
      </c>
    </row>
    <row r="152" spans="1:16" ht="15.75" customHeight="1" x14ac:dyDescent="0.3">
      <c r="A152" t="s">
        <v>390</v>
      </c>
      <c r="B152">
        <v>982731</v>
      </c>
      <c r="C152" t="s">
        <v>391</v>
      </c>
      <c r="D152">
        <v>126451823883</v>
      </c>
      <c r="E152" t="s">
        <v>64</v>
      </c>
      <c r="F152" t="s">
        <v>65</v>
      </c>
      <c r="G152" t="s">
        <v>110</v>
      </c>
      <c r="H152" t="s">
        <v>31</v>
      </c>
      <c r="I152" t="s">
        <v>53</v>
      </c>
      <c r="J152" s="4">
        <v>238817.39</v>
      </c>
      <c r="K152" t="s">
        <v>32</v>
      </c>
      <c r="L152" s="1">
        <v>45192</v>
      </c>
      <c r="M152" t="s">
        <v>24</v>
      </c>
      <c r="N152" s="4">
        <v>670537.15</v>
      </c>
      <c r="O152" t="s">
        <v>25</v>
      </c>
      <c r="P152" t="str">
        <f t="shared" si="2"/>
        <v>2023-09</v>
      </c>
    </row>
    <row r="153" spans="1:16" ht="15.75" customHeight="1" x14ac:dyDescent="0.3">
      <c r="A153" t="s">
        <v>392</v>
      </c>
      <c r="B153">
        <v>695378</v>
      </c>
      <c r="C153" t="s">
        <v>393</v>
      </c>
      <c r="D153">
        <v>464662276260</v>
      </c>
      <c r="E153" t="s">
        <v>91</v>
      </c>
      <c r="F153" t="s">
        <v>109</v>
      </c>
      <c r="G153" t="s">
        <v>110</v>
      </c>
      <c r="H153" t="s">
        <v>70</v>
      </c>
      <c r="I153" t="s">
        <v>22</v>
      </c>
      <c r="J153" s="4">
        <v>236628.52</v>
      </c>
      <c r="K153" t="s">
        <v>32</v>
      </c>
      <c r="L153" s="1">
        <v>45735</v>
      </c>
      <c r="M153" t="s">
        <v>24</v>
      </c>
      <c r="N153" s="4">
        <v>310616.62</v>
      </c>
      <c r="O153" t="s">
        <v>25</v>
      </c>
      <c r="P153" t="str">
        <f t="shared" si="2"/>
        <v>2025-03</v>
      </c>
    </row>
    <row r="154" spans="1:16" ht="15.75" customHeight="1" x14ac:dyDescent="0.3">
      <c r="A154" t="s">
        <v>394</v>
      </c>
      <c r="B154">
        <v>749260</v>
      </c>
      <c r="C154" t="s">
        <v>395</v>
      </c>
      <c r="D154">
        <v>924783774270</v>
      </c>
      <c r="E154" t="s">
        <v>64</v>
      </c>
      <c r="F154" t="s">
        <v>166</v>
      </c>
      <c r="G154" t="s">
        <v>110</v>
      </c>
      <c r="H154" t="s">
        <v>70</v>
      </c>
      <c r="I154" t="s">
        <v>48</v>
      </c>
      <c r="J154" s="4">
        <v>236145.49</v>
      </c>
      <c r="K154" t="s">
        <v>32</v>
      </c>
      <c r="L154" s="1">
        <v>45430</v>
      </c>
      <c r="M154" t="s">
        <v>168</v>
      </c>
      <c r="N154" s="4">
        <v>707859.62000000011</v>
      </c>
      <c r="O154" t="s">
        <v>25</v>
      </c>
      <c r="P154" t="str">
        <f t="shared" si="2"/>
        <v>2024-05</v>
      </c>
    </row>
    <row r="155" spans="1:16" ht="15.75" customHeight="1" x14ac:dyDescent="0.3">
      <c r="A155" t="s">
        <v>396</v>
      </c>
      <c r="B155">
        <v>957981</v>
      </c>
      <c r="C155" t="s">
        <v>397</v>
      </c>
      <c r="D155">
        <v>855946759203</v>
      </c>
      <c r="E155" t="s">
        <v>64</v>
      </c>
      <c r="F155" t="s">
        <v>146</v>
      </c>
      <c r="G155" t="s">
        <v>110</v>
      </c>
      <c r="H155" t="s">
        <v>21</v>
      </c>
      <c r="I155" t="s">
        <v>53</v>
      </c>
      <c r="J155" s="4">
        <v>234750.67</v>
      </c>
      <c r="K155" t="s">
        <v>49</v>
      </c>
      <c r="L155" s="1">
        <v>45632</v>
      </c>
      <c r="M155" t="s">
        <v>24</v>
      </c>
      <c r="N155" s="4">
        <v>891749.57000000007</v>
      </c>
      <c r="O155" t="s">
        <v>25</v>
      </c>
      <c r="P155" t="str">
        <f t="shared" si="2"/>
        <v>2024-12</v>
      </c>
    </row>
    <row r="156" spans="1:16" ht="15.75" customHeight="1" x14ac:dyDescent="0.3">
      <c r="A156" t="s">
        <v>398</v>
      </c>
      <c r="B156">
        <v>893415</v>
      </c>
      <c r="C156" t="s">
        <v>399</v>
      </c>
      <c r="D156">
        <v>956396989936</v>
      </c>
      <c r="E156" t="s">
        <v>28</v>
      </c>
      <c r="F156" t="s">
        <v>29</v>
      </c>
      <c r="G156" t="s">
        <v>110</v>
      </c>
      <c r="H156" t="s">
        <v>70</v>
      </c>
      <c r="I156" t="s">
        <v>22</v>
      </c>
      <c r="J156" s="4">
        <v>233950.21</v>
      </c>
      <c r="K156" t="s">
        <v>32</v>
      </c>
      <c r="L156" s="1">
        <v>45677</v>
      </c>
      <c r="M156" t="s">
        <v>24</v>
      </c>
      <c r="N156" s="4">
        <v>2062972.87</v>
      </c>
      <c r="O156" t="s">
        <v>25</v>
      </c>
      <c r="P156" t="str">
        <f t="shared" si="2"/>
        <v>2025-01</v>
      </c>
    </row>
    <row r="157" spans="1:16" ht="15.75" customHeight="1" x14ac:dyDescent="0.3">
      <c r="A157" t="s">
        <v>400</v>
      </c>
      <c r="B157">
        <v>270470</v>
      </c>
      <c r="C157" t="s">
        <v>401</v>
      </c>
      <c r="D157">
        <v>194148450617</v>
      </c>
      <c r="E157" t="s">
        <v>18</v>
      </c>
      <c r="F157" t="s">
        <v>87</v>
      </c>
      <c r="G157" t="s">
        <v>110</v>
      </c>
      <c r="H157" t="s">
        <v>31</v>
      </c>
      <c r="I157" t="s">
        <v>53</v>
      </c>
      <c r="J157" s="4">
        <v>232081.79</v>
      </c>
      <c r="K157" t="s">
        <v>32</v>
      </c>
      <c r="L157" s="1">
        <v>45595</v>
      </c>
      <c r="M157" t="s">
        <v>24</v>
      </c>
      <c r="N157" s="4">
        <v>102989.25</v>
      </c>
      <c r="O157" t="s">
        <v>25</v>
      </c>
      <c r="P157" t="str">
        <f t="shared" si="2"/>
        <v>2024-10</v>
      </c>
    </row>
    <row r="158" spans="1:16" ht="15.75" customHeight="1" x14ac:dyDescent="0.3">
      <c r="A158" t="s">
        <v>402</v>
      </c>
      <c r="B158">
        <v>775874</v>
      </c>
      <c r="C158" t="s">
        <v>403</v>
      </c>
      <c r="D158">
        <v>113624287115</v>
      </c>
      <c r="E158" t="s">
        <v>28</v>
      </c>
      <c r="F158" t="s">
        <v>150</v>
      </c>
      <c r="G158" t="s">
        <v>93</v>
      </c>
      <c r="H158" t="s">
        <v>21</v>
      </c>
      <c r="I158" t="s">
        <v>38</v>
      </c>
      <c r="J158" s="4">
        <v>232001.45</v>
      </c>
      <c r="K158" t="s">
        <v>32</v>
      </c>
      <c r="L158" s="1">
        <v>45761</v>
      </c>
      <c r="M158" t="s">
        <v>24</v>
      </c>
      <c r="N158" s="4">
        <v>1778008.15</v>
      </c>
      <c r="O158" t="s">
        <v>25</v>
      </c>
      <c r="P158" t="str">
        <f t="shared" si="2"/>
        <v>2025-04</v>
      </c>
    </row>
    <row r="159" spans="1:16" ht="15.75" customHeight="1" x14ac:dyDescent="0.3">
      <c r="A159" t="s">
        <v>404</v>
      </c>
      <c r="B159">
        <v>264651</v>
      </c>
      <c r="C159" t="s">
        <v>405</v>
      </c>
      <c r="D159">
        <v>687564757084</v>
      </c>
      <c r="E159" t="s">
        <v>64</v>
      </c>
      <c r="F159" t="s">
        <v>65</v>
      </c>
      <c r="G159" t="s">
        <v>93</v>
      </c>
      <c r="H159" t="s">
        <v>67</v>
      </c>
      <c r="I159" t="s">
        <v>48</v>
      </c>
      <c r="J159" s="4">
        <v>230671.33</v>
      </c>
      <c r="K159" t="s">
        <v>49</v>
      </c>
      <c r="L159" s="1">
        <v>45734</v>
      </c>
      <c r="M159" t="s">
        <v>24</v>
      </c>
      <c r="N159" s="4">
        <v>594950.13</v>
      </c>
      <c r="O159" t="s">
        <v>25</v>
      </c>
      <c r="P159" t="str">
        <f t="shared" si="2"/>
        <v>2025-03</v>
      </c>
    </row>
    <row r="160" spans="1:16" ht="15.75" customHeight="1" x14ac:dyDescent="0.3">
      <c r="A160" t="s">
        <v>406</v>
      </c>
      <c r="B160">
        <v>464154</v>
      </c>
      <c r="C160" t="s">
        <v>407</v>
      </c>
      <c r="D160">
        <v>219059604533</v>
      </c>
      <c r="E160" t="s">
        <v>64</v>
      </c>
      <c r="F160" t="s">
        <v>177</v>
      </c>
      <c r="G160" t="s">
        <v>93</v>
      </c>
      <c r="H160" t="s">
        <v>31</v>
      </c>
      <c r="I160" t="s">
        <v>22</v>
      </c>
      <c r="J160" s="4">
        <v>230412.57</v>
      </c>
      <c r="K160" t="s">
        <v>49</v>
      </c>
      <c r="L160" s="1">
        <v>45567</v>
      </c>
      <c r="M160" t="s">
        <v>24</v>
      </c>
      <c r="N160" s="4">
        <v>797962.84</v>
      </c>
      <c r="O160" t="s">
        <v>25</v>
      </c>
      <c r="P160" t="str">
        <f t="shared" si="2"/>
        <v>2024-10</v>
      </c>
    </row>
    <row r="161" spans="1:16" ht="15.75" customHeight="1" x14ac:dyDescent="0.3">
      <c r="A161" t="s">
        <v>408</v>
      </c>
      <c r="B161">
        <v>146344</v>
      </c>
      <c r="C161" t="s">
        <v>409</v>
      </c>
      <c r="D161">
        <v>802060333395</v>
      </c>
      <c r="E161" t="s">
        <v>28</v>
      </c>
      <c r="F161" t="s">
        <v>192</v>
      </c>
      <c r="G161" t="s">
        <v>93</v>
      </c>
      <c r="H161" t="s">
        <v>21</v>
      </c>
      <c r="I161" t="s">
        <v>53</v>
      </c>
      <c r="J161" s="4">
        <v>229674.46</v>
      </c>
      <c r="K161" t="s">
        <v>98</v>
      </c>
      <c r="L161" s="1">
        <v>45171</v>
      </c>
      <c r="M161" t="s">
        <v>24</v>
      </c>
      <c r="N161" s="4">
        <v>1932874.96</v>
      </c>
      <c r="O161" t="s">
        <v>25</v>
      </c>
      <c r="P161" t="str">
        <f t="shared" si="2"/>
        <v>2023-09</v>
      </c>
    </row>
    <row r="162" spans="1:16" ht="15.75" customHeight="1" x14ac:dyDescent="0.3">
      <c r="A162" t="s">
        <v>410</v>
      </c>
      <c r="B162">
        <v>575179</v>
      </c>
      <c r="C162" t="s">
        <v>411</v>
      </c>
      <c r="D162">
        <v>950574724598</v>
      </c>
      <c r="E162" t="s">
        <v>18</v>
      </c>
      <c r="F162" t="s">
        <v>46</v>
      </c>
      <c r="G162" t="s">
        <v>93</v>
      </c>
      <c r="H162" t="s">
        <v>67</v>
      </c>
      <c r="I162" t="s">
        <v>48</v>
      </c>
      <c r="J162" s="4">
        <v>229408.77</v>
      </c>
      <c r="K162" t="s">
        <v>23</v>
      </c>
      <c r="L162" s="1">
        <v>45794</v>
      </c>
      <c r="M162" t="s">
        <v>24</v>
      </c>
      <c r="N162" s="4">
        <v>137008.63</v>
      </c>
      <c r="O162" t="s">
        <v>25</v>
      </c>
      <c r="P162" t="str">
        <f t="shared" si="2"/>
        <v>2025-05</v>
      </c>
    </row>
    <row r="163" spans="1:16" ht="15.75" customHeight="1" x14ac:dyDescent="0.3">
      <c r="A163" t="s">
        <v>412</v>
      </c>
      <c r="B163">
        <v>721340</v>
      </c>
      <c r="C163" t="s">
        <v>413</v>
      </c>
      <c r="D163">
        <v>555966315099</v>
      </c>
      <c r="E163" t="s">
        <v>18</v>
      </c>
      <c r="F163" t="s">
        <v>56</v>
      </c>
      <c r="G163" t="s">
        <v>93</v>
      </c>
      <c r="H163" t="s">
        <v>31</v>
      </c>
      <c r="I163" t="s">
        <v>38</v>
      </c>
      <c r="J163" s="4">
        <v>229396.76</v>
      </c>
      <c r="K163" t="s">
        <v>98</v>
      </c>
      <c r="L163" s="1">
        <v>45275</v>
      </c>
      <c r="M163" t="s">
        <v>113</v>
      </c>
      <c r="N163" s="4">
        <v>970456.09999999986</v>
      </c>
      <c r="O163" t="s">
        <v>25</v>
      </c>
      <c r="P163" t="str">
        <f t="shared" si="2"/>
        <v>2023-12</v>
      </c>
    </row>
    <row r="164" spans="1:16" ht="15.75" customHeight="1" x14ac:dyDescent="0.3">
      <c r="A164" t="s">
        <v>414</v>
      </c>
      <c r="B164">
        <v>978283</v>
      </c>
      <c r="C164" t="s">
        <v>415</v>
      </c>
      <c r="D164">
        <v>686925039970</v>
      </c>
      <c r="E164" t="s">
        <v>35</v>
      </c>
      <c r="F164" t="s">
        <v>36</v>
      </c>
      <c r="G164" t="s">
        <v>93</v>
      </c>
      <c r="H164" t="s">
        <v>31</v>
      </c>
      <c r="I164" t="s">
        <v>48</v>
      </c>
      <c r="J164" s="4">
        <v>228752.03</v>
      </c>
      <c r="K164" t="s">
        <v>49</v>
      </c>
      <c r="L164" s="1">
        <v>45472</v>
      </c>
      <c r="M164" t="s">
        <v>24</v>
      </c>
      <c r="N164" s="4">
        <v>1302694.5</v>
      </c>
      <c r="O164" t="s">
        <v>25</v>
      </c>
      <c r="P164" t="str">
        <f t="shared" si="2"/>
        <v>2024-06</v>
      </c>
    </row>
    <row r="165" spans="1:16" ht="15.75" customHeight="1" x14ac:dyDescent="0.3">
      <c r="A165" t="s">
        <v>416</v>
      </c>
      <c r="B165">
        <v>308373</v>
      </c>
      <c r="C165" t="s">
        <v>417</v>
      </c>
      <c r="D165">
        <v>850820030043</v>
      </c>
      <c r="E165" t="s">
        <v>28</v>
      </c>
      <c r="F165" t="s">
        <v>29</v>
      </c>
      <c r="G165" t="s">
        <v>93</v>
      </c>
      <c r="H165" t="s">
        <v>67</v>
      </c>
      <c r="I165" t="s">
        <v>22</v>
      </c>
      <c r="J165" s="4">
        <v>228603.21</v>
      </c>
      <c r="K165" t="s">
        <v>49</v>
      </c>
      <c r="L165" s="1">
        <v>45742</v>
      </c>
      <c r="M165" t="s">
        <v>24</v>
      </c>
      <c r="N165" s="4">
        <v>303737.78000000003</v>
      </c>
      <c r="O165" t="s">
        <v>25</v>
      </c>
      <c r="P165" t="str">
        <f t="shared" si="2"/>
        <v>2025-03</v>
      </c>
    </row>
    <row r="166" spans="1:16" ht="15.75" customHeight="1" x14ac:dyDescent="0.3">
      <c r="A166" t="s">
        <v>418</v>
      </c>
      <c r="B166">
        <v>382042</v>
      </c>
      <c r="C166" t="s">
        <v>419</v>
      </c>
      <c r="D166">
        <v>672793088296</v>
      </c>
      <c r="E166" t="s">
        <v>28</v>
      </c>
      <c r="F166" t="s">
        <v>29</v>
      </c>
      <c r="G166" t="s">
        <v>93</v>
      </c>
      <c r="H166" t="s">
        <v>21</v>
      </c>
      <c r="I166" t="s">
        <v>38</v>
      </c>
      <c r="J166" s="4">
        <v>227121.19</v>
      </c>
      <c r="K166" t="s">
        <v>39</v>
      </c>
      <c r="L166" s="1">
        <v>45525</v>
      </c>
      <c r="M166" t="s">
        <v>24</v>
      </c>
      <c r="N166" s="4">
        <v>464560.08</v>
      </c>
      <c r="O166" t="s">
        <v>25</v>
      </c>
      <c r="P166" t="str">
        <f t="shared" si="2"/>
        <v>2024-08</v>
      </c>
    </row>
    <row r="167" spans="1:16" ht="15.75" customHeight="1" x14ac:dyDescent="0.3">
      <c r="A167" t="s">
        <v>420</v>
      </c>
      <c r="B167">
        <v>841087</v>
      </c>
      <c r="C167" t="s">
        <v>421</v>
      </c>
      <c r="D167">
        <v>340321947570</v>
      </c>
      <c r="E167" t="s">
        <v>64</v>
      </c>
      <c r="F167" t="s">
        <v>146</v>
      </c>
      <c r="G167" t="s">
        <v>93</v>
      </c>
      <c r="H167" t="s">
        <v>67</v>
      </c>
      <c r="I167" t="s">
        <v>38</v>
      </c>
      <c r="J167" s="4">
        <v>224004.06</v>
      </c>
      <c r="K167" t="s">
        <v>32</v>
      </c>
      <c r="L167" s="1">
        <v>45621</v>
      </c>
      <c r="M167" t="s">
        <v>24</v>
      </c>
      <c r="N167" s="4">
        <v>1504466.62</v>
      </c>
      <c r="O167" t="s">
        <v>25</v>
      </c>
      <c r="P167" t="str">
        <f t="shared" si="2"/>
        <v>2024-11</v>
      </c>
    </row>
    <row r="168" spans="1:16" ht="15.75" customHeight="1" x14ac:dyDescent="0.3">
      <c r="A168" t="s">
        <v>422</v>
      </c>
      <c r="B168">
        <v>453621</v>
      </c>
      <c r="C168" t="s">
        <v>423</v>
      </c>
      <c r="D168">
        <v>572275455942</v>
      </c>
      <c r="E168" t="s">
        <v>18</v>
      </c>
      <c r="F168" t="s">
        <v>46</v>
      </c>
      <c r="G168" t="s">
        <v>93</v>
      </c>
      <c r="H168" t="s">
        <v>70</v>
      </c>
      <c r="I168" t="s">
        <v>38</v>
      </c>
      <c r="J168" s="4">
        <v>223897.88</v>
      </c>
      <c r="K168" t="s">
        <v>49</v>
      </c>
      <c r="L168" s="1">
        <v>45833</v>
      </c>
      <c r="M168" t="s">
        <v>24</v>
      </c>
      <c r="N168" s="4">
        <v>173826.27</v>
      </c>
      <c r="O168" t="s">
        <v>25</v>
      </c>
      <c r="P168" t="str">
        <f t="shared" si="2"/>
        <v>2025-06</v>
      </c>
    </row>
    <row r="169" spans="1:16" ht="15.75" customHeight="1" x14ac:dyDescent="0.3">
      <c r="A169" t="s">
        <v>424</v>
      </c>
      <c r="B169">
        <v>194555</v>
      </c>
      <c r="C169" t="s">
        <v>425</v>
      </c>
      <c r="D169">
        <v>623222273192</v>
      </c>
      <c r="E169" t="s">
        <v>18</v>
      </c>
      <c r="F169" t="s">
        <v>19</v>
      </c>
      <c r="G169" t="s">
        <v>93</v>
      </c>
      <c r="H169" t="s">
        <v>70</v>
      </c>
      <c r="I169" t="s">
        <v>48</v>
      </c>
      <c r="J169" s="4">
        <v>221952.99</v>
      </c>
      <c r="K169" t="s">
        <v>98</v>
      </c>
      <c r="L169" s="1">
        <v>45423</v>
      </c>
      <c r="M169" t="s">
        <v>50</v>
      </c>
      <c r="N169" s="4">
        <v>1986716.88</v>
      </c>
      <c r="O169" t="s">
        <v>25</v>
      </c>
      <c r="P169" t="str">
        <f t="shared" si="2"/>
        <v>2024-05</v>
      </c>
    </row>
    <row r="170" spans="1:16" ht="15.75" customHeight="1" x14ac:dyDescent="0.3">
      <c r="A170" t="s">
        <v>426</v>
      </c>
      <c r="B170">
        <v>770075</v>
      </c>
      <c r="C170" t="s">
        <v>427</v>
      </c>
      <c r="D170">
        <v>292949525017</v>
      </c>
      <c r="E170" t="s">
        <v>18</v>
      </c>
      <c r="F170" t="s">
        <v>19</v>
      </c>
      <c r="G170" t="s">
        <v>93</v>
      </c>
      <c r="H170" t="s">
        <v>21</v>
      </c>
      <c r="I170" t="s">
        <v>48</v>
      </c>
      <c r="J170" s="4">
        <v>218817.69</v>
      </c>
      <c r="K170" t="s">
        <v>49</v>
      </c>
      <c r="L170" s="1">
        <v>45565</v>
      </c>
      <c r="M170" t="s">
        <v>24</v>
      </c>
      <c r="N170" s="4">
        <v>1443432.25</v>
      </c>
      <c r="O170" t="s">
        <v>25</v>
      </c>
      <c r="P170" t="str">
        <f t="shared" si="2"/>
        <v>2024-09</v>
      </c>
    </row>
    <row r="171" spans="1:16" ht="15.75" customHeight="1" x14ac:dyDescent="0.3">
      <c r="A171" t="s">
        <v>428</v>
      </c>
      <c r="B171">
        <v>829378</v>
      </c>
      <c r="C171" t="s">
        <v>429</v>
      </c>
      <c r="D171">
        <v>903370949456</v>
      </c>
      <c r="E171" t="s">
        <v>91</v>
      </c>
      <c r="F171" t="s">
        <v>109</v>
      </c>
      <c r="G171" t="s">
        <v>93</v>
      </c>
      <c r="H171" t="s">
        <v>21</v>
      </c>
      <c r="I171" t="s">
        <v>22</v>
      </c>
      <c r="J171" s="4">
        <v>218521.3</v>
      </c>
      <c r="K171" t="s">
        <v>49</v>
      </c>
      <c r="L171" s="1">
        <v>45303</v>
      </c>
      <c r="M171" t="s">
        <v>24</v>
      </c>
      <c r="N171" s="4">
        <v>1709477.05</v>
      </c>
      <c r="O171" t="s">
        <v>25</v>
      </c>
      <c r="P171" t="str">
        <f t="shared" si="2"/>
        <v>2024-01</v>
      </c>
    </row>
    <row r="172" spans="1:16" ht="15.75" customHeight="1" x14ac:dyDescent="0.3">
      <c r="A172" t="s">
        <v>430</v>
      </c>
      <c r="B172">
        <v>987879</v>
      </c>
      <c r="C172" t="s">
        <v>431</v>
      </c>
      <c r="D172">
        <v>260587250312</v>
      </c>
      <c r="E172" t="s">
        <v>35</v>
      </c>
      <c r="F172" t="s">
        <v>36</v>
      </c>
      <c r="G172" t="s">
        <v>93</v>
      </c>
      <c r="H172" t="s">
        <v>70</v>
      </c>
      <c r="I172" t="s">
        <v>38</v>
      </c>
      <c r="J172" s="4">
        <v>217678.95</v>
      </c>
      <c r="K172" t="s">
        <v>39</v>
      </c>
      <c r="L172" s="1">
        <v>45818</v>
      </c>
      <c r="M172" t="s">
        <v>24</v>
      </c>
      <c r="N172" s="4">
        <v>1443259.36</v>
      </c>
      <c r="O172" t="s">
        <v>25</v>
      </c>
      <c r="P172" t="str">
        <f t="shared" si="2"/>
        <v>2025-06</v>
      </c>
    </row>
    <row r="173" spans="1:16" ht="15.75" customHeight="1" x14ac:dyDescent="0.3">
      <c r="A173" t="s">
        <v>432</v>
      </c>
      <c r="B173">
        <v>232569</v>
      </c>
      <c r="C173" t="s">
        <v>433</v>
      </c>
      <c r="D173">
        <v>977364169001</v>
      </c>
      <c r="E173" t="s">
        <v>18</v>
      </c>
      <c r="F173" t="s">
        <v>19</v>
      </c>
      <c r="G173" t="s">
        <v>93</v>
      </c>
      <c r="H173" t="s">
        <v>21</v>
      </c>
      <c r="I173" t="s">
        <v>53</v>
      </c>
      <c r="J173" s="4">
        <v>217272.91</v>
      </c>
      <c r="K173" t="s">
        <v>49</v>
      </c>
      <c r="L173" s="1">
        <v>45278</v>
      </c>
      <c r="M173" t="s">
        <v>24</v>
      </c>
      <c r="N173" s="4">
        <v>1325870.71</v>
      </c>
      <c r="O173" t="s">
        <v>25</v>
      </c>
      <c r="P173" t="str">
        <f t="shared" si="2"/>
        <v>2023-12</v>
      </c>
    </row>
    <row r="174" spans="1:16" ht="15.75" customHeight="1" x14ac:dyDescent="0.3">
      <c r="A174" t="s">
        <v>434</v>
      </c>
      <c r="B174">
        <v>287130</v>
      </c>
      <c r="C174" t="s">
        <v>435</v>
      </c>
      <c r="D174">
        <v>390913928721</v>
      </c>
      <c r="E174" t="s">
        <v>18</v>
      </c>
      <c r="F174" t="s">
        <v>87</v>
      </c>
      <c r="G174" t="s">
        <v>93</v>
      </c>
      <c r="H174" t="s">
        <v>31</v>
      </c>
      <c r="I174" t="s">
        <v>48</v>
      </c>
      <c r="J174" s="4">
        <v>216375.47</v>
      </c>
      <c r="K174" t="s">
        <v>39</v>
      </c>
      <c r="L174" s="1">
        <v>45302</v>
      </c>
      <c r="M174" t="s">
        <v>24</v>
      </c>
      <c r="N174" s="4">
        <v>614510.72</v>
      </c>
      <c r="O174" t="s">
        <v>25</v>
      </c>
      <c r="P174" t="str">
        <f t="shared" si="2"/>
        <v>2024-01</v>
      </c>
    </row>
    <row r="175" spans="1:16" ht="15.75" customHeight="1" x14ac:dyDescent="0.3">
      <c r="A175" t="s">
        <v>436</v>
      </c>
      <c r="B175">
        <v>273869</v>
      </c>
      <c r="C175" t="s">
        <v>437</v>
      </c>
      <c r="D175">
        <v>722703997525</v>
      </c>
      <c r="E175" t="s">
        <v>91</v>
      </c>
      <c r="F175" t="s">
        <v>92</v>
      </c>
      <c r="G175" t="s">
        <v>178</v>
      </c>
      <c r="H175" t="s">
        <v>67</v>
      </c>
      <c r="I175" t="s">
        <v>48</v>
      </c>
      <c r="J175" s="4">
        <v>215474.39</v>
      </c>
      <c r="K175" t="s">
        <v>49</v>
      </c>
      <c r="L175" s="1">
        <v>45634</v>
      </c>
      <c r="M175" t="s">
        <v>24</v>
      </c>
      <c r="N175" s="4">
        <v>2278673.0299999998</v>
      </c>
      <c r="O175" t="s">
        <v>25</v>
      </c>
      <c r="P175" t="str">
        <f t="shared" si="2"/>
        <v>2024-12</v>
      </c>
    </row>
    <row r="176" spans="1:16" ht="15.75" customHeight="1" x14ac:dyDescent="0.3">
      <c r="A176" t="s">
        <v>438</v>
      </c>
      <c r="B176">
        <v>533366</v>
      </c>
      <c r="C176" t="s">
        <v>439</v>
      </c>
      <c r="D176">
        <v>792282281783</v>
      </c>
      <c r="E176" t="s">
        <v>91</v>
      </c>
      <c r="F176" t="s">
        <v>92</v>
      </c>
      <c r="G176" t="s">
        <v>178</v>
      </c>
      <c r="H176" t="s">
        <v>67</v>
      </c>
      <c r="I176" t="s">
        <v>53</v>
      </c>
      <c r="J176" s="4">
        <v>212526.68</v>
      </c>
      <c r="K176" t="s">
        <v>39</v>
      </c>
      <c r="L176" s="1">
        <v>45811</v>
      </c>
      <c r="M176" t="s">
        <v>24</v>
      </c>
      <c r="N176" s="4">
        <v>580928.07999999996</v>
      </c>
      <c r="O176" t="s">
        <v>25</v>
      </c>
      <c r="P176" t="str">
        <f t="shared" si="2"/>
        <v>2025-06</v>
      </c>
    </row>
    <row r="177" spans="1:16" ht="15.75" customHeight="1" x14ac:dyDescent="0.3">
      <c r="A177" t="s">
        <v>440</v>
      </c>
      <c r="B177">
        <v>392320</v>
      </c>
      <c r="C177" t="s">
        <v>441</v>
      </c>
      <c r="D177">
        <v>738265413805</v>
      </c>
      <c r="E177" t="s">
        <v>64</v>
      </c>
      <c r="F177" t="s">
        <v>83</v>
      </c>
      <c r="G177" t="s">
        <v>178</v>
      </c>
      <c r="H177" t="s">
        <v>31</v>
      </c>
      <c r="I177" t="s">
        <v>22</v>
      </c>
      <c r="J177" s="4">
        <v>212352.26</v>
      </c>
      <c r="K177" t="s">
        <v>23</v>
      </c>
      <c r="L177" s="1">
        <v>45682</v>
      </c>
      <c r="M177" t="s">
        <v>24</v>
      </c>
      <c r="N177" s="4">
        <v>602494.71</v>
      </c>
      <c r="O177" t="s">
        <v>25</v>
      </c>
      <c r="P177" t="str">
        <f t="shared" si="2"/>
        <v>2025-01</v>
      </c>
    </row>
    <row r="178" spans="1:16" ht="15.75" customHeight="1" x14ac:dyDescent="0.3">
      <c r="A178" t="s">
        <v>442</v>
      </c>
      <c r="B178">
        <v>489951</v>
      </c>
      <c r="C178" t="s">
        <v>443</v>
      </c>
      <c r="D178">
        <v>660462416947</v>
      </c>
      <c r="E178" t="s">
        <v>35</v>
      </c>
      <c r="F178" t="s">
        <v>136</v>
      </c>
      <c r="G178" t="s">
        <v>178</v>
      </c>
      <c r="H178" t="s">
        <v>67</v>
      </c>
      <c r="I178" t="s">
        <v>53</v>
      </c>
      <c r="J178" s="4">
        <v>212325.1</v>
      </c>
      <c r="K178" t="s">
        <v>98</v>
      </c>
      <c r="L178" s="1">
        <v>45665</v>
      </c>
      <c r="M178" t="s">
        <v>24</v>
      </c>
      <c r="N178" s="4">
        <v>847748.51</v>
      </c>
      <c r="O178" t="s">
        <v>25</v>
      </c>
      <c r="P178" t="str">
        <f t="shared" si="2"/>
        <v>2025-01</v>
      </c>
    </row>
    <row r="179" spans="1:16" ht="15.75" customHeight="1" x14ac:dyDescent="0.3">
      <c r="A179" t="s">
        <v>444</v>
      </c>
      <c r="B179">
        <v>182090</v>
      </c>
      <c r="C179" t="s">
        <v>445</v>
      </c>
      <c r="D179">
        <v>773349801258</v>
      </c>
      <c r="E179" t="s">
        <v>91</v>
      </c>
      <c r="F179" t="s">
        <v>105</v>
      </c>
      <c r="G179" t="s">
        <v>178</v>
      </c>
      <c r="H179" t="s">
        <v>67</v>
      </c>
      <c r="I179" t="s">
        <v>53</v>
      </c>
      <c r="J179" s="4">
        <v>211790.53</v>
      </c>
      <c r="K179" t="s">
        <v>39</v>
      </c>
      <c r="L179" s="1">
        <v>45344</v>
      </c>
      <c r="M179" t="s">
        <v>24</v>
      </c>
      <c r="N179" s="4">
        <v>1516905.19</v>
      </c>
      <c r="O179" t="s">
        <v>25</v>
      </c>
      <c r="P179" t="str">
        <f t="shared" si="2"/>
        <v>2024-02</v>
      </c>
    </row>
    <row r="180" spans="1:16" ht="15.75" customHeight="1" x14ac:dyDescent="0.3">
      <c r="A180" t="s">
        <v>446</v>
      </c>
      <c r="B180">
        <v>861891</v>
      </c>
      <c r="C180" t="s">
        <v>447</v>
      </c>
      <c r="D180">
        <v>758276699400</v>
      </c>
      <c r="E180" t="s">
        <v>64</v>
      </c>
      <c r="F180" t="s">
        <v>83</v>
      </c>
      <c r="G180" t="s">
        <v>178</v>
      </c>
      <c r="H180" t="s">
        <v>67</v>
      </c>
      <c r="I180" t="s">
        <v>53</v>
      </c>
      <c r="J180" s="4">
        <v>210645.38</v>
      </c>
      <c r="K180" t="s">
        <v>98</v>
      </c>
      <c r="L180" s="1">
        <v>45333</v>
      </c>
      <c r="M180" t="s">
        <v>24</v>
      </c>
      <c r="N180" s="4">
        <v>320795.43</v>
      </c>
      <c r="O180" t="s">
        <v>25</v>
      </c>
      <c r="P180" t="str">
        <f t="shared" si="2"/>
        <v>2024-02</v>
      </c>
    </row>
    <row r="181" spans="1:16" ht="15.75" customHeight="1" x14ac:dyDescent="0.3">
      <c r="A181" t="s">
        <v>448</v>
      </c>
      <c r="B181">
        <v>915152</v>
      </c>
      <c r="C181" t="s">
        <v>449</v>
      </c>
      <c r="D181">
        <v>885153418135</v>
      </c>
      <c r="E181" t="s">
        <v>64</v>
      </c>
      <c r="F181" t="s">
        <v>166</v>
      </c>
      <c r="G181" t="s">
        <v>178</v>
      </c>
      <c r="H181" t="s">
        <v>70</v>
      </c>
      <c r="I181" t="s">
        <v>38</v>
      </c>
      <c r="J181" s="4">
        <v>209237.66</v>
      </c>
      <c r="K181" t="s">
        <v>32</v>
      </c>
      <c r="L181" s="1">
        <v>45573</v>
      </c>
      <c r="M181" t="s">
        <v>24</v>
      </c>
      <c r="N181" s="4">
        <v>1644815.09</v>
      </c>
      <c r="O181" t="s">
        <v>25</v>
      </c>
      <c r="P181" t="str">
        <f t="shared" si="2"/>
        <v>2024-10</v>
      </c>
    </row>
    <row r="182" spans="1:16" ht="15.75" customHeight="1" x14ac:dyDescent="0.3">
      <c r="A182" t="s">
        <v>450</v>
      </c>
      <c r="B182">
        <v>955248</v>
      </c>
      <c r="C182" t="s">
        <v>451</v>
      </c>
      <c r="D182">
        <v>536354802733</v>
      </c>
      <c r="E182" t="s">
        <v>35</v>
      </c>
      <c r="F182" t="s">
        <v>60</v>
      </c>
      <c r="G182" t="s">
        <v>178</v>
      </c>
      <c r="H182" t="s">
        <v>70</v>
      </c>
      <c r="I182" t="s">
        <v>53</v>
      </c>
      <c r="J182" s="4">
        <v>208142.17</v>
      </c>
      <c r="K182" t="s">
        <v>32</v>
      </c>
      <c r="L182" s="1">
        <v>45666</v>
      </c>
      <c r="M182" t="s">
        <v>168</v>
      </c>
      <c r="N182" s="4">
        <v>1971539.37</v>
      </c>
      <c r="O182" t="s">
        <v>25</v>
      </c>
      <c r="P182" t="str">
        <f t="shared" si="2"/>
        <v>2025-01</v>
      </c>
    </row>
    <row r="183" spans="1:16" ht="15.75" customHeight="1" x14ac:dyDescent="0.3">
      <c r="A183" t="s">
        <v>452</v>
      </c>
      <c r="B183">
        <v>102739</v>
      </c>
      <c r="C183" t="s">
        <v>453</v>
      </c>
      <c r="D183">
        <v>774104911098</v>
      </c>
      <c r="E183" t="s">
        <v>18</v>
      </c>
      <c r="F183" t="s">
        <v>156</v>
      </c>
      <c r="G183" t="s">
        <v>178</v>
      </c>
      <c r="H183" t="s">
        <v>70</v>
      </c>
      <c r="I183" t="s">
        <v>38</v>
      </c>
      <c r="J183" s="4">
        <v>207043.55</v>
      </c>
      <c r="K183" t="s">
        <v>98</v>
      </c>
      <c r="L183" s="1">
        <v>45166</v>
      </c>
      <c r="M183" t="s">
        <v>24</v>
      </c>
      <c r="N183" s="4">
        <v>110612.71</v>
      </c>
      <c r="O183" t="s">
        <v>25</v>
      </c>
      <c r="P183" t="str">
        <f t="shared" si="2"/>
        <v>2023-08</v>
      </c>
    </row>
    <row r="184" spans="1:16" ht="15.75" customHeight="1" x14ac:dyDescent="0.3">
      <c r="A184" t="s">
        <v>454</v>
      </c>
      <c r="B184">
        <v>870440</v>
      </c>
      <c r="C184" t="s">
        <v>455</v>
      </c>
      <c r="D184">
        <v>599441016363</v>
      </c>
      <c r="E184" t="s">
        <v>28</v>
      </c>
      <c r="F184" t="s">
        <v>150</v>
      </c>
      <c r="G184" t="s">
        <v>178</v>
      </c>
      <c r="H184" t="s">
        <v>70</v>
      </c>
      <c r="I184" t="s">
        <v>53</v>
      </c>
      <c r="J184" s="4">
        <v>206210.04</v>
      </c>
      <c r="K184" t="s">
        <v>32</v>
      </c>
      <c r="L184" s="1">
        <v>45834</v>
      </c>
      <c r="M184" t="s">
        <v>24</v>
      </c>
      <c r="N184" s="4">
        <v>1665408.93</v>
      </c>
      <c r="O184" t="s">
        <v>25</v>
      </c>
      <c r="P184" t="str">
        <f t="shared" si="2"/>
        <v>2025-06</v>
      </c>
    </row>
    <row r="185" spans="1:16" ht="15.75" customHeight="1" x14ac:dyDescent="0.3">
      <c r="A185" t="s">
        <v>456</v>
      </c>
      <c r="B185">
        <v>568609</v>
      </c>
      <c r="C185" t="s">
        <v>457</v>
      </c>
      <c r="D185">
        <v>575512465389</v>
      </c>
      <c r="E185" t="s">
        <v>35</v>
      </c>
      <c r="F185" t="s">
        <v>60</v>
      </c>
      <c r="G185" t="s">
        <v>178</v>
      </c>
      <c r="H185" t="s">
        <v>21</v>
      </c>
      <c r="I185" t="s">
        <v>38</v>
      </c>
      <c r="J185" s="4">
        <v>206178.7</v>
      </c>
      <c r="K185" t="s">
        <v>49</v>
      </c>
      <c r="L185" s="1">
        <v>45806</v>
      </c>
      <c r="M185" t="s">
        <v>113</v>
      </c>
      <c r="N185" s="4">
        <v>1643987.43</v>
      </c>
      <c r="O185" t="s">
        <v>25</v>
      </c>
      <c r="P185" t="str">
        <f t="shared" si="2"/>
        <v>2025-05</v>
      </c>
    </row>
    <row r="186" spans="1:16" ht="15.75" customHeight="1" x14ac:dyDescent="0.3">
      <c r="A186" t="s">
        <v>458</v>
      </c>
      <c r="B186">
        <v>365649</v>
      </c>
      <c r="C186" t="s">
        <v>459</v>
      </c>
      <c r="D186">
        <v>709341661530</v>
      </c>
      <c r="E186" t="s">
        <v>64</v>
      </c>
      <c r="F186" t="s">
        <v>177</v>
      </c>
      <c r="G186" t="s">
        <v>178</v>
      </c>
      <c r="H186" t="s">
        <v>21</v>
      </c>
      <c r="I186" t="s">
        <v>53</v>
      </c>
      <c r="J186" s="4">
        <v>205821.35</v>
      </c>
      <c r="K186" t="s">
        <v>23</v>
      </c>
      <c r="L186" s="1">
        <v>45509</v>
      </c>
      <c r="M186" t="s">
        <v>24</v>
      </c>
      <c r="N186" s="4">
        <v>77396.25</v>
      </c>
      <c r="O186" t="s">
        <v>25</v>
      </c>
      <c r="P186" t="str">
        <f t="shared" si="2"/>
        <v>2024-08</v>
      </c>
    </row>
    <row r="187" spans="1:16" ht="15.75" customHeight="1" x14ac:dyDescent="0.3">
      <c r="A187" t="s">
        <v>460</v>
      </c>
      <c r="B187">
        <v>818603</v>
      </c>
      <c r="C187" t="s">
        <v>461</v>
      </c>
      <c r="D187">
        <v>782215302028</v>
      </c>
      <c r="E187" t="s">
        <v>18</v>
      </c>
      <c r="F187" t="s">
        <v>56</v>
      </c>
      <c r="G187" t="s">
        <v>178</v>
      </c>
      <c r="H187" t="s">
        <v>21</v>
      </c>
      <c r="I187" t="s">
        <v>22</v>
      </c>
      <c r="J187" s="4">
        <v>204879.07</v>
      </c>
      <c r="K187" t="s">
        <v>39</v>
      </c>
      <c r="L187" s="1">
        <v>45810</v>
      </c>
      <c r="M187" t="s">
        <v>50</v>
      </c>
      <c r="N187" s="4">
        <v>1616440.48</v>
      </c>
      <c r="O187" t="s">
        <v>25</v>
      </c>
      <c r="P187" t="str">
        <f t="shared" si="2"/>
        <v>2025-06</v>
      </c>
    </row>
    <row r="188" spans="1:16" ht="15.75" customHeight="1" x14ac:dyDescent="0.3">
      <c r="A188" t="s">
        <v>462</v>
      </c>
      <c r="B188">
        <v>764919</v>
      </c>
      <c r="C188" t="s">
        <v>463</v>
      </c>
      <c r="D188">
        <v>459712929306</v>
      </c>
      <c r="E188" t="s">
        <v>64</v>
      </c>
      <c r="F188" t="s">
        <v>166</v>
      </c>
      <c r="G188" t="s">
        <v>178</v>
      </c>
      <c r="H188" t="s">
        <v>70</v>
      </c>
      <c r="I188" t="s">
        <v>53</v>
      </c>
      <c r="J188" s="4">
        <v>204242.97</v>
      </c>
      <c r="K188" t="s">
        <v>39</v>
      </c>
      <c r="L188" s="1">
        <v>45286</v>
      </c>
      <c r="M188" t="s">
        <v>24</v>
      </c>
      <c r="N188" s="4">
        <v>1111261.05</v>
      </c>
      <c r="O188" t="s">
        <v>25</v>
      </c>
      <c r="P188" t="str">
        <f t="shared" si="2"/>
        <v>2023-12</v>
      </c>
    </row>
    <row r="189" spans="1:16" ht="15.75" customHeight="1" x14ac:dyDescent="0.3">
      <c r="A189" t="s">
        <v>464</v>
      </c>
      <c r="B189">
        <v>408340</v>
      </c>
      <c r="C189" t="s">
        <v>465</v>
      </c>
      <c r="D189">
        <v>128421661114</v>
      </c>
      <c r="E189" t="s">
        <v>35</v>
      </c>
      <c r="F189" t="s">
        <v>60</v>
      </c>
      <c r="G189" t="s">
        <v>178</v>
      </c>
      <c r="H189" t="s">
        <v>70</v>
      </c>
      <c r="I189" t="s">
        <v>38</v>
      </c>
      <c r="J189" s="4">
        <v>202988.35</v>
      </c>
      <c r="K189" t="s">
        <v>98</v>
      </c>
      <c r="L189" s="1">
        <v>45623</v>
      </c>
      <c r="M189" t="s">
        <v>24</v>
      </c>
      <c r="N189" s="4">
        <v>144857.48000000001</v>
      </c>
      <c r="O189" t="s">
        <v>179</v>
      </c>
      <c r="P189" t="str">
        <f t="shared" si="2"/>
        <v>2024-11</v>
      </c>
    </row>
    <row r="190" spans="1:16" ht="15.75" customHeight="1" x14ac:dyDescent="0.3">
      <c r="A190" t="s">
        <v>466</v>
      </c>
      <c r="B190">
        <v>599905</v>
      </c>
      <c r="C190" t="s">
        <v>467</v>
      </c>
      <c r="D190">
        <v>532372091101</v>
      </c>
      <c r="E190" t="s">
        <v>18</v>
      </c>
      <c r="F190" t="s">
        <v>19</v>
      </c>
      <c r="G190" t="s">
        <v>178</v>
      </c>
      <c r="H190" t="s">
        <v>70</v>
      </c>
      <c r="I190" t="s">
        <v>22</v>
      </c>
      <c r="J190" s="4">
        <v>201991.8</v>
      </c>
      <c r="K190" t="s">
        <v>23</v>
      </c>
      <c r="L190" s="1">
        <v>45364</v>
      </c>
      <c r="M190" t="s">
        <v>24</v>
      </c>
      <c r="N190" s="4">
        <v>1385401.9</v>
      </c>
      <c r="O190" t="s">
        <v>25</v>
      </c>
      <c r="P190" t="str">
        <f t="shared" si="2"/>
        <v>2024-03</v>
      </c>
    </row>
    <row r="191" spans="1:16" ht="15.75" customHeight="1" x14ac:dyDescent="0.3">
      <c r="A191" t="s">
        <v>468</v>
      </c>
      <c r="B191">
        <v>185724</v>
      </c>
      <c r="C191" t="s">
        <v>469</v>
      </c>
      <c r="D191">
        <v>133109804226</v>
      </c>
      <c r="E191" t="s">
        <v>91</v>
      </c>
      <c r="F191" t="s">
        <v>105</v>
      </c>
      <c r="G191" t="s">
        <v>178</v>
      </c>
      <c r="H191" t="s">
        <v>21</v>
      </c>
      <c r="I191" t="s">
        <v>38</v>
      </c>
      <c r="J191" s="4">
        <v>200163.67</v>
      </c>
      <c r="K191" t="s">
        <v>39</v>
      </c>
      <c r="L191" s="1">
        <v>45438</v>
      </c>
      <c r="M191" t="s">
        <v>24</v>
      </c>
      <c r="N191" s="4">
        <v>630301.93000000005</v>
      </c>
      <c r="O191" t="s">
        <v>25</v>
      </c>
      <c r="P191" t="str">
        <f t="shared" si="2"/>
        <v>2024-05</v>
      </c>
    </row>
    <row r="192" spans="1:16" ht="15.75" customHeight="1" x14ac:dyDescent="0.3">
      <c r="A192" t="s">
        <v>470</v>
      </c>
      <c r="B192">
        <v>459857</v>
      </c>
      <c r="C192" t="s">
        <v>471</v>
      </c>
      <c r="D192">
        <v>674125296809</v>
      </c>
      <c r="E192" t="s">
        <v>35</v>
      </c>
      <c r="F192" t="s">
        <v>36</v>
      </c>
      <c r="G192" t="s">
        <v>178</v>
      </c>
      <c r="H192" t="s">
        <v>21</v>
      </c>
      <c r="I192" t="s">
        <v>53</v>
      </c>
      <c r="J192" s="4">
        <v>199776.68</v>
      </c>
      <c r="K192" t="s">
        <v>39</v>
      </c>
      <c r="L192" s="1">
        <v>45785</v>
      </c>
      <c r="M192" t="s">
        <v>24</v>
      </c>
      <c r="N192" s="4">
        <v>562061.77</v>
      </c>
      <c r="O192" t="s">
        <v>25</v>
      </c>
      <c r="P192" t="str">
        <f t="shared" si="2"/>
        <v>2025-05</v>
      </c>
    </row>
    <row r="193" spans="1:16" ht="15.75" customHeight="1" x14ac:dyDescent="0.3">
      <c r="A193" t="s">
        <v>472</v>
      </c>
      <c r="B193">
        <v>927818</v>
      </c>
      <c r="C193" t="s">
        <v>473</v>
      </c>
      <c r="D193">
        <v>644707102453</v>
      </c>
      <c r="E193" t="s">
        <v>28</v>
      </c>
      <c r="F193" t="s">
        <v>29</v>
      </c>
      <c r="G193" t="s">
        <v>178</v>
      </c>
      <c r="H193" t="s">
        <v>70</v>
      </c>
      <c r="I193" t="s">
        <v>53</v>
      </c>
      <c r="J193" s="4">
        <v>197642.07</v>
      </c>
      <c r="K193" t="s">
        <v>49</v>
      </c>
      <c r="L193" s="1">
        <v>45549</v>
      </c>
      <c r="M193" t="s">
        <v>24</v>
      </c>
      <c r="N193" s="4">
        <v>1754440.1</v>
      </c>
      <c r="O193" t="s">
        <v>25</v>
      </c>
      <c r="P193" t="str">
        <f t="shared" si="2"/>
        <v>2024-09</v>
      </c>
    </row>
    <row r="194" spans="1:16" ht="15.75" customHeight="1" x14ac:dyDescent="0.3">
      <c r="A194" t="s">
        <v>474</v>
      </c>
      <c r="B194">
        <v>569704</v>
      </c>
      <c r="C194" t="s">
        <v>475</v>
      </c>
      <c r="D194">
        <v>948080124499</v>
      </c>
      <c r="E194" t="s">
        <v>18</v>
      </c>
      <c r="F194" t="s">
        <v>19</v>
      </c>
      <c r="G194" t="s">
        <v>178</v>
      </c>
      <c r="H194" t="s">
        <v>67</v>
      </c>
      <c r="I194" t="s">
        <v>22</v>
      </c>
      <c r="J194" s="4">
        <v>197544.78</v>
      </c>
      <c r="K194" t="s">
        <v>39</v>
      </c>
      <c r="L194" s="1">
        <v>45534</v>
      </c>
      <c r="M194" t="s">
        <v>24</v>
      </c>
      <c r="N194" s="4">
        <v>2282261.11</v>
      </c>
      <c r="O194" t="s">
        <v>25</v>
      </c>
      <c r="P194" t="str">
        <f t="shared" si="2"/>
        <v>2024-08</v>
      </c>
    </row>
    <row r="195" spans="1:16" ht="15.75" customHeight="1" x14ac:dyDescent="0.3">
      <c r="A195" t="s">
        <v>476</v>
      </c>
      <c r="B195">
        <v>930330</v>
      </c>
      <c r="C195" t="s">
        <v>477</v>
      </c>
      <c r="D195">
        <v>171580026376</v>
      </c>
      <c r="E195" t="s">
        <v>35</v>
      </c>
      <c r="F195" t="s">
        <v>73</v>
      </c>
      <c r="G195" t="s">
        <v>178</v>
      </c>
      <c r="H195" t="s">
        <v>31</v>
      </c>
      <c r="I195" t="s">
        <v>22</v>
      </c>
      <c r="J195" s="4">
        <v>197351.19</v>
      </c>
      <c r="K195" t="s">
        <v>49</v>
      </c>
      <c r="L195" s="1">
        <v>45635</v>
      </c>
      <c r="M195" t="s">
        <v>113</v>
      </c>
      <c r="N195" s="4">
        <v>747054.91</v>
      </c>
      <c r="O195" t="s">
        <v>25</v>
      </c>
      <c r="P195" t="str">
        <f t="shared" ref="P195:P258" si="3">TEXT(L195,"yyyy-mm")</f>
        <v>2024-12</v>
      </c>
    </row>
    <row r="196" spans="1:16" ht="15.75" customHeight="1" x14ac:dyDescent="0.3">
      <c r="A196" t="s">
        <v>478</v>
      </c>
      <c r="B196">
        <v>509505</v>
      </c>
      <c r="C196" t="s">
        <v>479</v>
      </c>
      <c r="D196">
        <v>323601796174</v>
      </c>
      <c r="E196" t="s">
        <v>35</v>
      </c>
      <c r="F196" t="s">
        <v>36</v>
      </c>
      <c r="G196" t="s">
        <v>178</v>
      </c>
      <c r="H196" t="s">
        <v>67</v>
      </c>
      <c r="I196" t="s">
        <v>53</v>
      </c>
      <c r="J196" s="4">
        <v>195381.64</v>
      </c>
      <c r="K196" t="s">
        <v>98</v>
      </c>
      <c r="L196" s="1">
        <v>45140</v>
      </c>
      <c r="M196" t="s">
        <v>24</v>
      </c>
      <c r="N196" s="4">
        <v>1817009.99</v>
      </c>
      <c r="O196" t="s">
        <v>25</v>
      </c>
      <c r="P196" t="str">
        <f t="shared" si="3"/>
        <v>2023-08</v>
      </c>
    </row>
    <row r="197" spans="1:16" ht="15.75" customHeight="1" x14ac:dyDescent="0.3">
      <c r="A197" t="s">
        <v>480</v>
      </c>
      <c r="B197">
        <v>384060</v>
      </c>
      <c r="C197" t="s">
        <v>481</v>
      </c>
      <c r="D197">
        <v>174074350282</v>
      </c>
      <c r="E197" t="s">
        <v>28</v>
      </c>
      <c r="F197" t="s">
        <v>79</v>
      </c>
      <c r="G197" t="s">
        <v>30</v>
      </c>
      <c r="H197" t="s">
        <v>70</v>
      </c>
      <c r="I197" t="s">
        <v>53</v>
      </c>
      <c r="J197" s="4">
        <v>193920.04</v>
      </c>
      <c r="K197" t="s">
        <v>98</v>
      </c>
      <c r="L197" s="1">
        <v>45564</v>
      </c>
      <c r="M197" t="s">
        <v>24</v>
      </c>
      <c r="N197" s="4">
        <v>367563.6</v>
      </c>
      <c r="O197" t="s">
        <v>25</v>
      </c>
      <c r="P197" t="str">
        <f t="shared" si="3"/>
        <v>2024-09</v>
      </c>
    </row>
    <row r="198" spans="1:16" ht="15.75" customHeight="1" x14ac:dyDescent="0.3">
      <c r="A198" t="s">
        <v>482</v>
      </c>
      <c r="B198">
        <v>196463</v>
      </c>
      <c r="C198" t="s">
        <v>483</v>
      </c>
      <c r="D198">
        <v>446324586564</v>
      </c>
      <c r="E198" t="s">
        <v>28</v>
      </c>
      <c r="F198" t="s">
        <v>216</v>
      </c>
      <c r="G198" t="s">
        <v>30</v>
      </c>
      <c r="H198" t="s">
        <v>70</v>
      </c>
      <c r="I198" t="s">
        <v>48</v>
      </c>
      <c r="J198" s="4">
        <v>193788.6</v>
      </c>
      <c r="K198" t="s">
        <v>23</v>
      </c>
      <c r="L198" s="1">
        <v>45619</v>
      </c>
      <c r="M198" t="s">
        <v>24</v>
      </c>
      <c r="N198" s="4">
        <v>1764401.86</v>
      </c>
      <c r="O198" t="s">
        <v>25</v>
      </c>
      <c r="P198" t="str">
        <f t="shared" si="3"/>
        <v>2024-11</v>
      </c>
    </row>
    <row r="199" spans="1:16" ht="15.75" customHeight="1" x14ac:dyDescent="0.3">
      <c r="A199" t="s">
        <v>484</v>
      </c>
      <c r="B199">
        <v>869806</v>
      </c>
      <c r="C199" t="s">
        <v>485</v>
      </c>
      <c r="D199">
        <v>993033314029</v>
      </c>
      <c r="E199" t="s">
        <v>64</v>
      </c>
      <c r="F199" t="s">
        <v>166</v>
      </c>
      <c r="G199" t="s">
        <v>30</v>
      </c>
      <c r="H199" t="s">
        <v>31</v>
      </c>
      <c r="I199" t="s">
        <v>48</v>
      </c>
      <c r="J199" s="4">
        <v>193006.63</v>
      </c>
      <c r="K199" t="s">
        <v>39</v>
      </c>
      <c r="L199" s="1">
        <v>45369</v>
      </c>
      <c r="M199" t="s">
        <v>24</v>
      </c>
      <c r="N199" s="4">
        <v>1785565.49</v>
      </c>
      <c r="O199" t="s">
        <v>25</v>
      </c>
      <c r="P199" t="str">
        <f t="shared" si="3"/>
        <v>2024-03</v>
      </c>
    </row>
    <row r="200" spans="1:16" ht="15.75" customHeight="1" x14ac:dyDescent="0.3">
      <c r="A200" t="s">
        <v>486</v>
      </c>
      <c r="B200">
        <v>916524</v>
      </c>
      <c r="C200" t="s">
        <v>487</v>
      </c>
      <c r="D200">
        <v>294611826165</v>
      </c>
      <c r="E200" t="s">
        <v>18</v>
      </c>
      <c r="F200" t="s">
        <v>56</v>
      </c>
      <c r="G200" t="s">
        <v>30</v>
      </c>
      <c r="H200" t="s">
        <v>70</v>
      </c>
      <c r="I200" t="s">
        <v>38</v>
      </c>
      <c r="J200" s="4">
        <v>192646.23</v>
      </c>
      <c r="K200" t="s">
        <v>49</v>
      </c>
      <c r="L200" s="1">
        <v>45618</v>
      </c>
      <c r="M200" t="s">
        <v>24</v>
      </c>
      <c r="N200" s="4">
        <v>33534.019999999997</v>
      </c>
      <c r="O200" t="s">
        <v>25</v>
      </c>
      <c r="P200" t="str">
        <f t="shared" si="3"/>
        <v>2024-11</v>
      </c>
    </row>
    <row r="201" spans="1:16" ht="15.75" customHeight="1" x14ac:dyDescent="0.3">
      <c r="A201" t="s">
        <v>488</v>
      </c>
      <c r="B201">
        <v>713748</v>
      </c>
      <c r="C201" t="s">
        <v>489</v>
      </c>
      <c r="D201">
        <v>104745824924</v>
      </c>
      <c r="E201" t="s">
        <v>35</v>
      </c>
      <c r="F201" t="s">
        <v>136</v>
      </c>
      <c r="G201" t="s">
        <v>30</v>
      </c>
      <c r="H201" t="s">
        <v>70</v>
      </c>
      <c r="I201" t="s">
        <v>53</v>
      </c>
      <c r="J201" s="4">
        <v>191244.09</v>
      </c>
      <c r="K201" t="s">
        <v>23</v>
      </c>
      <c r="L201" s="1">
        <v>45638</v>
      </c>
      <c r="M201" t="s">
        <v>168</v>
      </c>
      <c r="N201" s="4">
        <v>1138412.6299999999</v>
      </c>
      <c r="O201" t="s">
        <v>25</v>
      </c>
      <c r="P201" t="str">
        <f t="shared" si="3"/>
        <v>2024-12</v>
      </c>
    </row>
    <row r="202" spans="1:16" ht="15.75" customHeight="1" x14ac:dyDescent="0.3">
      <c r="A202" t="s">
        <v>490</v>
      </c>
      <c r="B202">
        <v>147276</v>
      </c>
      <c r="C202" t="s">
        <v>491</v>
      </c>
      <c r="D202">
        <v>298367664209</v>
      </c>
      <c r="E202" t="s">
        <v>91</v>
      </c>
      <c r="F202" t="s">
        <v>130</v>
      </c>
      <c r="G202" t="s">
        <v>30</v>
      </c>
      <c r="H202" t="s">
        <v>31</v>
      </c>
      <c r="I202" t="s">
        <v>53</v>
      </c>
      <c r="J202" s="4">
        <v>190072.68</v>
      </c>
      <c r="K202" t="s">
        <v>39</v>
      </c>
      <c r="L202" s="1">
        <v>45700</v>
      </c>
      <c r="M202" t="s">
        <v>24</v>
      </c>
      <c r="N202" s="4">
        <v>901918.7</v>
      </c>
      <c r="O202" t="s">
        <v>25</v>
      </c>
      <c r="P202" t="str">
        <f t="shared" si="3"/>
        <v>2025-02</v>
      </c>
    </row>
    <row r="203" spans="1:16" ht="15.75" customHeight="1" x14ac:dyDescent="0.3">
      <c r="A203" t="s">
        <v>492</v>
      </c>
      <c r="B203">
        <v>534364</v>
      </c>
      <c r="C203" t="s">
        <v>493</v>
      </c>
      <c r="D203">
        <v>908844402758</v>
      </c>
      <c r="E203" t="s">
        <v>91</v>
      </c>
      <c r="F203" t="s">
        <v>109</v>
      </c>
      <c r="G203" t="s">
        <v>30</v>
      </c>
      <c r="H203" t="s">
        <v>31</v>
      </c>
      <c r="I203" t="s">
        <v>22</v>
      </c>
      <c r="J203" s="4">
        <v>189663.01</v>
      </c>
      <c r="K203" t="s">
        <v>39</v>
      </c>
      <c r="L203" s="1">
        <v>45361</v>
      </c>
      <c r="M203" t="s">
        <v>24</v>
      </c>
      <c r="N203" s="4">
        <v>556602.14</v>
      </c>
      <c r="O203" t="s">
        <v>25</v>
      </c>
      <c r="P203" t="str">
        <f t="shared" si="3"/>
        <v>2024-03</v>
      </c>
    </row>
    <row r="204" spans="1:16" ht="15.75" customHeight="1" x14ac:dyDescent="0.3">
      <c r="A204" t="s">
        <v>494</v>
      </c>
      <c r="B204">
        <v>929089</v>
      </c>
      <c r="C204" t="s">
        <v>495</v>
      </c>
      <c r="D204">
        <v>879121856049</v>
      </c>
      <c r="E204" t="s">
        <v>35</v>
      </c>
      <c r="F204" t="s">
        <v>60</v>
      </c>
      <c r="G204" t="s">
        <v>30</v>
      </c>
      <c r="H204" t="s">
        <v>31</v>
      </c>
      <c r="I204" t="s">
        <v>22</v>
      </c>
      <c r="J204" s="4">
        <v>189202.98</v>
      </c>
      <c r="K204" t="s">
        <v>23</v>
      </c>
      <c r="L204" s="1">
        <v>45484</v>
      </c>
      <c r="M204" t="s">
        <v>50</v>
      </c>
      <c r="N204" s="4">
        <v>1454386.03</v>
      </c>
      <c r="O204" t="s">
        <v>25</v>
      </c>
      <c r="P204" t="str">
        <f t="shared" si="3"/>
        <v>2024-07</v>
      </c>
    </row>
    <row r="205" spans="1:16" ht="15.75" customHeight="1" x14ac:dyDescent="0.3">
      <c r="A205" t="s">
        <v>496</v>
      </c>
      <c r="B205">
        <v>767038</v>
      </c>
      <c r="C205" t="s">
        <v>497</v>
      </c>
      <c r="D205">
        <v>448540026288</v>
      </c>
      <c r="E205" t="s">
        <v>64</v>
      </c>
      <c r="F205" t="s">
        <v>83</v>
      </c>
      <c r="G205" t="s">
        <v>30</v>
      </c>
      <c r="H205" t="s">
        <v>31</v>
      </c>
      <c r="I205" t="s">
        <v>48</v>
      </c>
      <c r="J205" s="4">
        <v>189190.47</v>
      </c>
      <c r="K205" t="s">
        <v>32</v>
      </c>
      <c r="L205" s="1">
        <v>45624</v>
      </c>
      <c r="M205" t="s">
        <v>24</v>
      </c>
      <c r="N205" s="4">
        <v>1021765.12</v>
      </c>
      <c r="O205" t="s">
        <v>25</v>
      </c>
      <c r="P205" t="str">
        <f t="shared" si="3"/>
        <v>2024-11</v>
      </c>
    </row>
    <row r="206" spans="1:16" ht="15.75" customHeight="1" x14ac:dyDescent="0.3">
      <c r="A206" t="s">
        <v>498</v>
      </c>
      <c r="B206">
        <v>661975</v>
      </c>
      <c r="C206" t="s">
        <v>499</v>
      </c>
      <c r="D206">
        <v>700954169412</v>
      </c>
      <c r="E206" t="s">
        <v>91</v>
      </c>
      <c r="F206" t="s">
        <v>162</v>
      </c>
      <c r="G206" t="s">
        <v>30</v>
      </c>
      <c r="H206" t="s">
        <v>21</v>
      </c>
      <c r="I206" t="s">
        <v>48</v>
      </c>
      <c r="J206" s="4">
        <v>188855.58</v>
      </c>
      <c r="K206" t="s">
        <v>32</v>
      </c>
      <c r="L206" s="1">
        <v>45761</v>
      </c>
      <c r="M206" t="s">
        <v>24</v>
      </c>
      <c r="N206" s="4">
        <v>1887254.61</v>
      </c>
      <c r="O206" t="s">
        <v>25</v>
      </c>
      <c r="P206" t="str">
        <f t="shared" si="3"/>
        <v>2025-04</v>
      </c>
    </row>
    <row r="207" spans="1:16" ht="15.75" customHeight="1" x14ac:dyDescent="0.3">
      <c r="A207" t="s">
        <v>500</v>
      </c>
      <c r="B207">
        <v>716285</v>
      </c>
      <c r="C207" t="s">
        <v>501</v>
      </c>
      <c r="D207">
        <v>784033043076</v>
      </c>
      <c r="E207" t="s">
        <v>35</v>
      </c>
      <c r="F207" t="s">
        <v>36</v>
      </c>
      <c r="G207" t="s">
        <v>30</v>
      </c>
      <c r="H207" t="s">
        <v>31</v>
      </c>
      <c r="I207" t="s">
        <v>22</v>
      </c>
      <c r="J207" s="4">
        <v>188748.49</v>
      </c>
      <c r="K207" t="s">
        <v>39</v>
      </c>
      <c r="L207" s="1">
        <v>45329</v>
      </c>
      <c r="M207" t="s">
        <v>24</v>
      </c>
      <c r="N207" s="4">
        <v>1543020.48</v>
      </c>
      <c r="O207" t="s">
        <v>25</v>
      </c>
      <c r="P207" t="str">
        <f t="shared" si="3"/>
        <v>2024-02</v>
      </c>
    </row>
    <row r="208" spans="1:16" ht="15.75" customHeight="1" x14ac:dyDescent="0.3">
      <c r="A208" t="s">
        <v>502</v>
      </c>
      <c r="B208">
        <v>605524</v>
      </c>
      <c r="C208" t="s">
        <v>503</v>
      </c>
      <c r="D208">
        <v>956938466004</v>
      </c>
      <c r="E208" t="s">
        <v>64</v>
      </c>
      <c r="F208" t="s">
        <v>146</v>
      </c>
      <c r="G208" t="s">
        <v>30</v>
      </c>
      <c r="H208" t="s">
        <v>31</v>
      </c>
      <c r="I208" t="s">
        <v>38</v>
      </c>
      <c r="J208" s="4">
        <v>186576.31</v>
      </c>
      <c r="K208" t="s">
        <v>39</v>
      </c>
      <c r="L208" s="1">
        <v>45436</v>
      </c>
      <c r="M208" t="s">
        <v>24</v>
      </c>
      <c r="N208" s="4">
        <v>84736.760000000009</v>
      </c>
      <c r="O208" t="s">
        <v>25</v>
      </c>
      <c r="P208" t="str">
        <f t="shared" si="3"/>
        <v>2024-05</v>
      </c>
    </row>
    <row r="209" spans="1:16" ht="15.75" customHeight="1" x14ac:dyDescent="0.3">
      <c r="A209" t="s">
        <v>504</v>
      </c>
      <c r="B209">
        <v>765487</v>
      </c>
      <c r="C209" t="s">
        <v>505</v>
      </c>
      <c r="D209">
        <v>356872754777</v>
      </c>
      <c r="E209" t="s">
        <v>35</v>
      </c>
      <c r="F209" t="s">
        <v>60</v>
      </c>
      <c r="G209" t="s">
        <v>30</v>
      </c>
      <c r="H209" t="s">
        <v>31</v>
      </c>
      <c r="I209" t="s">
        <v>38</v>
      </c>
      <c r="J209" s="4">
        <v>186460.63</v>
      </c>
      <c r="K209" t="s">
        <v>23</v>
      </c>
      <c r="L209" s="1">
        <v>45658</v>
      </c>
      <c r="M209" t="s">
        <v>24</v>
      </c>
      <c r="N209" s="4">
        <v>1500386.7</v>
      </c>
      <c r="O209" t="s">
        <v>25</v>
      </c>
      <c r="P209" t="str">
        <f t="shared" si="3"/>
        <v>2025-01</v>
      </c>
    </row>
    <row r="210" spans="1:16" ht="15.75" customHeight="1" x14ac:dyDescent="0.3">
      <c r="A210" t="s">
        <v>506</v>
      </c>
      <c r="B210">
        <v>155745</v>
      </c>
      <c r="C210" t="s">
        <v>507</v>
      </c>
      <c r="D210">
        <v>967181974276</v>
      </c>
      <c r="E210" t="s">
        <v>28</v>
      </c>
      <c r="F210" t="s">
        <v>29</v>
      </c>
      <c r="G210" t="s">
        <v>30</v>
      </c>
      <c r="H210" t="s">
        <v>70</v>
      </c>
      <c r="I210" t="s">
        <v>22</v>
      </c>
      <c r="J210" s="4">
        <v>186304.69</v>
      </c>
      <c r="K210" t="s">
        <v>49</v>
      </c>
      <c r="L210" s="1">
        <v>45235</v>
      </c>
      <c r="M210" t="s">
        <v>24</v>
      </c>
      <c r="N210" s="4">
        <v>1671638.55</v>
      </c>
      <c r="O210" t="s">
        <v>25</v>
      </c>
      <c r="P210" t="str">
        <f t="shared" si="3"/>
        <v>2023-11</v>
      </c>
    </row>
    <row r="211" spans="1:16" ht="15.75" customHeight="1" x14ac:dyDescent="0.3">
      <c r="A211" t="s">
        <v>508</v>
      </c>
      <c r="B211">
        <v>303453</v>
      </c>
      <c r="C211" t="s">
        <v>509</v>
      </c>
      <c r="D211">
        <v>243746329004</v>
      </c>
      <c r="E211" t="s">
        <v>91</v>
      </c>
      <c r="F211" t="s">
        <v>92</v>
      </c>
      <c r="G211" t="s">
        <v>30</v>
      </c>
      <c r="H211" t="s">
        <v>21</v>
      </c>
      <c r="I211" t="s">
        <v>53</v>
      </c>
      <c r="J211" s="4">
        <v>185535.98</v>
      </c>
      <c r="K211" t="s">
        <v>49</v>
      </c>
      <c r="L211" s="1">
        <v>45373</v>
      </c>
      <c r="M211" t="s">
        <v>24</v>
      </c>
      <c r="N211" s="4">
        <v>687439.49</v>
      </c>
      <c r="O211" t="s">
        <v>25</v>
      </c>
      <c r="P211" t="str">
        <f t="shared" si="3"/>
        <v>2024-03</v>
      </c>
    </row>
    <row r="212" spans="1:16" ht="15.75" customHeight="1" x14ac:dyDescent="0.3">
      <c r="A212" t="s">
        <v>510</v>
      </c>
      <c r="B212">
        <v>787015</v>
      </c>
      <c r="C212" t="s">
        <v>511</v>
      </c>
      <c r="D212">
        <v>575318543797</v>
      </c>
      <c r="E212" t="s">
        <v>64</v>
      </c>
      <c r="F212" t="s">
        <v>166</v>
      </c>
      <c r="G212" t="s">
        <v>30</v>
      </c>
      <c r="H212" t="s">
        <v>70</v>
      </c>
      <c r="I212" t="s">
        <v>38</v>
      </c>
      <c r="J212" s="4">
        <v>181990.14</v>
      </c>
      <c r="K212" t="s">
        <v>49</v>
      </c>
      <c r="L212" s="1">
        <v>45797</v>
      </c>
      <c r="M212" t="s">
        <v>24</v>
      </c>
      <c r="N212" s="4">
        <v>1718077.34</v>
      </c>
      <c r="O212" t="s">
        <v>179</v>
      </c>
      <c r="P212" t="str">
        <f t="shared" si="3"/>
        <v>2025-05</v>
      </c>
    </row>
    <row r="213" spans="1:16" ht="15.75" customHeight="1" x14ac:dyDescent="0.3">
      <c r="A213" t="s">
        <v>512</v>
      </c>
      <c r="B213">
        <v>343315</v>
      </c>
      <c r="C213" t="s">
        <v>513</v>
      </c>
      <c r="D213">
        <v>972348027984</v>
      </c>
      <c r="E213" t="s">
        <v>91</v>
      </c>
      <c r="F213" t="s">
        <v>109</v>
      </c>
      <c r="G213" t="s">
        <v>30</v>
      </c>
      <c r="H213" t="s">
        <v>21</v>
      </c>
      <c r="I213" t="s">
        <v>48</v>
      </c>
      <c r="J213" s="4">
        <v>181640.7</v>
      </c>
      <c r="K213" t="s">
        <v>32</v>
      </c>
      <c r="L213" s="1">
        <v>45237</v>
      </c>
      <c r="M213" t="s">
        <v>24</v>
      </c>
      <c r="N213" s="4">
        <v>2049780.56</v>
      </c>
      <c r="O213" t="s">
        <v>25</v>
      </c>
      <c r="P213" t="str">
        <f t="shared" si="3"/>
        <v>2023-11</v>
      </c>
    </row>
    <row r="214" spans="1:16" ht="15.75" customHeight="1" x14ac:dyDescent="0.3">
      <c r="A214" t="s">
        <v>514</v>
      </c>
      <c r="B214">
        <v>840177</v>
      </c>
      <c r="C214" t="s">
        <v>515</v>
      </c>
      <c r="D214">
        <v>620866833278</v>
      </c>
      <c r="E214" t="s">
        <v>28</v>
      </c>
      <c r="F214" t="s">
        <v>192</v>
      </c>
      <c r="G214" t="s">
        <v>30</v>
      </c>
      <c r="H214" t="s">
        <v>67</v>
      </c>
      <c r="I214" t="s">
        <v>38</v>
      </c>
      <c r="J214" s="4">
        <v>181478.37</v>
      </c>
      <c r="K214" t="s">
        <v>98</v>
      </c>
      <c r="L214" s="1">
        <v>45775</v>
      </c>
      <c r="M214" t="s">
        <v>24</v>
      </c>
      <c r="N214" s="4">
        <v>508306.81999999989</v>
      </c>
      <c r="O214" t="s">
        <v>25</v>
      </c>
      <c r="P214" t="str">
        <f t="shared" si="3"/>
        <v>2025-04</v>
      </c>
    </row>
    <row r="215" spans="1:16" ht="15.75" customHeight="1" x14ac:dyDescent="0.3">
      <c r="A215" t="s">
        <v>516</v>
      </c>
      <c r="B215">
        <v>449494</v>
      </c>
      <c r="C215" t="s">
        <v>517</v>
      </c>
      <c r="D215">
        <v>655684209042</v>
      </c>
      <c r="E215" t="s">
        <v>28</v>
      </c>
      <c r="F215" t="s">
        <v>29</v>
      </c>
      <c r="G215" t="s">
        <v>30</v>
      </c>
      <c r="H215" t="s">
        <v>31</v>
      </c>
      <c r="I215" t="s">
        <v>48</v>
      </c>
      <c r="J215" s="4">
        <v>181205.51</v>
      </c>
      <c r="K215" t="s">
        <v>49</v>
      </c>
      <c r="L215" s="1">
        <v>45539</v>
      </c>
      <c r="M215" t="s">
        <v>24</v>
      </c>
      <c r="N215" s="4">
        <v>1258078.81</v>
      </c>
      <c r="O215" t="s">
        <v>25</v>
      </c>
      <c r="P215" t="str">
        <f t="shared" si="3"/>
        <v>2024-09</v>
      </c>
    </row>
    <row r="216" spans="1:16" ht="15.75" customHeight="1" x14ac:dyDescent="0.3">
      <c r="A216" t="s">
        <v>518</v>
      </c>
      <c r="B216">
        <v>592263</v>
      </c>
      <c r="C216" t="s">
        <v>519</v>
      </c>
      <c r="D216">
        <v>393065946926</v>
      </c>
      <c r="E216" t="s">
        <v>35</v>
      </c>
      <c r="F216" t="s">
        <v>42</v>
      </c>
      <c r="G216" t="s">
        <v>30</v>
      </c>
      <c r="H216" t="s">
        <v>70</v>
      </c>
      <c r="I216" t="s">
        <v>22</v>
      </c>
      <c r="J216" s="4">
        <v>180619.41</v>
      </c>
      <c r="K216" t="s">
        <v>32</v>
      </c>
      <c r="L216" s="1">
        <v>45121</v>
      </c>
      <c r="M216" t="s">
        <v>24</v>
      </c>
      <c r="N216" s="4">
        <v>1287572.97</v>
      </c>
      <c r="O216" t="s">
        <v>25</v>
      </c>
      <c r="P216" t="str">
        <f t="shared" si="3"/>
        <v>2023-07</v>
      </c>
    </row>
    <row r="217" spans="1:16" ht="15.75" customHeight="1" x14ac:dyDescent="0.3">
      <c r="A217" t="s">
        <v>520</v>
      </c>
      <c r="B217">
        <v>903080</v>
      </c>
      <c r="C217" t="s">
        <v>521</v>
      </c>
      <c r="D217">
        <v>770477101883</v>
      </c>
      <c r="E217" t="s">
        <v>64</v>
      </c>
      <c r="F217" t="s">
        <v>83</v>
      </c>
      <c r="G217" t="s">
        <v>30</v>
      </c>
      <c r="H217" t="s">
        <v>67</v>
      </c>
      <c r="I217" t="s">
        <v>48</v>
      </c>
      <c r="J217" s="4">
        <v>179240.17</v>
      </c>
      <c r="K217" t="s">
        <v>23</v>
      </c>
      <c r="L217" s="1">
        <v>45367</v>
      </c>
      <c r="M217" t="s">
        <v>24</v>
      </c>
      <c r="N217" s="4">
        <v>1027058.02</v>
      </c>
      <c r="O217" t="s">
        <v>25</v>
      </c>
      <c r="P217" t="str">
        <f t="shared" si="3"/>
        <v>2024-03</v>
      </c>
    </row>
    <row r="218" spans="1:16" ht="15.75" customHeight="1" x14ac:dyDescent="0.3">
      <c r="A218" t="s">
        <v>522</v>
      </c>
      <c r="B218">
        <v>438809</v>
      </c>
      <c r="C218" t="s">
        <v>523</v>
      </c>
      <c r="D218">
        <v>268345748955</v>
      </c>
      <c r="E218" t="s">
        <v>28</v>
      </c>
      <c r="F218" t="s">
        <v>216</v>
      </c>
      <c r="G218" t="s">
        <v>30</v>
      </c>
      <c r="H218" t="s">
        <v>21</v>
      </c>
      <c r="I218" t="s">
        <v>48</v>
      </c>
      <c r="J218" s="4">
        <v>178673.93</v>
      </c>
      <c r="K218" t="s">
        <v>32</v>
      </c>
      <c r="L218" s="1">
        <v>45770</v>
      </c>
      <c r="M218" t="s">
        <v>24</v>
      </c>
      <c r="N218" s="4">
        <v>744892.46</v>
      </c>
      <c r="O218" t="s">
        <v>25</v>
      </c>
      <c r="P218" t="str">
        <f t="shared" si="3"/>
        <v>2025-04</v>
      </c>
    </row>
    <row r="219" spans="1:16" ht="15.75" customHeight="1" x14ac:dyDescent="0.3">
      <c r="A219" t="s">
        <v>524</v>
      </c>
      <c r="B219">
        <v>521810</v>
      </c>
      <c r="C219" t="s">
        <v>525</v>
      </c>
      <c r="D219">
        <v>309101241276</v>
      </c>
      <c r="E219" t="s">
        <v>91</v>
      </c>
      <c r="F219" t="s">
        <v>109</v>
      </c>
      <c r="G219" t="s">
        <v>157</v>
      </c>
      <c r="H219" t="s">
        <v>67</v>
      </c>
      <c r="I219" t="s">
        <v>38</v>
      </c>
      <c r="J219" s="4">
        <v>177814.59</v>
      </c>
      <c r="K219" t="s">
        <v>98</v>
      </c>
      <c r="L219" s="1">
        <v>45572</v>
      </c>
      <c r="M219" t="s">
        <v>113</v>
      </c>
      <c r="N219" s="4">
        <v>100329.61</v>
      </c>
      <c r="O219" t="s">
        <v>25</v>
      </c>
      <c r="P219" t="str">
        <f t="shared" si="3"/>
        <v>2024-10</v>
      </c>
    </row>
    <row r="220" spans="1:16" ht="15.75" customHeight="1" x14ac:dyDescent="0.3">
      <c r="A220" t="s">
        <v>526</v>
      </c>
      <c r="B220">
        <v>727634</v>
      </c>
      <c r="C220" t="s">
        <v>527</v>
      </c>
      <c r="D220">
        <v>543364918707</v>
      </c>
      <c r="E220" t="s">
        <v>64</v>
      </c>
      <c r="F220" t="s">
        <v>177</v>
      </c>
      <c r="G220" t="s">
        <v>157</v>
      </c>
      <c r="H220" t="s">
        <v>70</v>
      </c>
      <c r="I220" t="s">
        <v>22</v>
      </c>
      <c r="J220" s="4">
        <v>176968.27</v>
      </c>
      <c r="K220" t="s">
        <v>39</v>
      </c>
      <c r="L220" s="1">
        <v>45341</v>
      </c>
      <c r="M220" t="s">
        <v>24</v>
      </c>
      <c r="N220" s="4">
        <v>1528394.35</v>
      </c>
      <c r="O220" t="s">
        <v>25</v>
      </c>
      <c r="P220" t="str">
        <f t="shared" si="3"/>
        <v>2024-02</v>
      </c>
    </row>
    <row r="221" spans="1:16" ht="15.75" customHeight="1" x14ac:dyDescent="0.3">
      <c r="A221" t="s">
        <v>528</v>
      </c>
      <c r="B221">
        <v>149140</v>
      </c>
      <c r="C221" t="s">
        <v>529</v>
      </c>
      <c r="D221">
        <v>319552688595</v>
      </c>
      <c r="E221" t="s">
        <v>18</v>
      </c>
      <c r="F221" t="s">
        <v>46</v>
      </c>
      <c r="G221" t="s">
        <v>157</v>
      </c>
      <c r="H221" t="s">
        <v>67</v>
      </c>
      <c r="I221" t="s">
        <v>38</v>
      </c>
      <c r="J221" s="4">
        <v>176352.05</v>
      </c>
      <c r="K221" t="s">
        <v>98</v>
      </c>
      <c r="L221" s="1">
        <v>45765</v>
      </c>
      <c r="M221" t="s">
        <v>24</v>
      </c>
      <c r="N221" s="4">
        <v>1244069.3400000001</v>
      </c>
      <c r="O221" t="s">
        <v>25</v>
      </c>
      <c r="P221" t="str">
        <f t="shared" si="3"/>
        <v>2025-04</v>
      </c>
    </row>
    <row r="222" spans="1:16" ht="15.75" customHeight="1" x14ac:dyDescent="0.3">
      <c r="A222" t="s">
        <v>530</v>
      </c>
      <c r="B222">
        <v>507147</v>
      </c>
      <c r="C222" t="s">
        <v>531</v>
      </c>
      <c r="D222">
        <v>684278087022</v>
      </c>
      <c r="E222" t="s">
        <v>28</v>
      </c>
      <c r="F222" t="s">
        <v>150</v>
      </c>
      <c r="G222" t="s">
        <v>157</v>
      </c>
      <c r="H222" t="s">
        <v>70</v>
      </c>
      <c r="I222" t="s">
        <v>48</v>
      </c>
      <c r="J222" s="4">
        <v>175602.6</v>
      </c>
      <c r="K222" t="s">
        <v>49</v>
      </c>
      <c r="L222" s="1">
        <v>45300</v>
      </c>
      <c r="M222" t="s">
        <v>113</v>
      </c>
      <c r="N222" s="4">
        <v>334817.68</v>
      </c>
      <c r="O222" t="s">
        <v>25</v>
      </c>
      <c r="P222" t="str">
        <f t="shared" si="3"/>
        <v>2024-01</v>
      </c>
    </row>
    <row r="223" spans="1:16" ht="15.75" customHeight="1" x14ac:dyDescent="0.3">
      <c r="A223" t="s">
        <v>532</v>
      </c>
      <c r="B223">
        <v>196451</v>
      </c>
      <c r="C223" t="s">
        <v>533</v>
      </c>
      <c r="D223">
        <v>789357220935</v>
      </c>
      <c r="E223" t="s">
        <v>64</v>
      </c>
      <c r="F223" t="s">
        <v>177</v>
      </c>
      <c r="G223" t="s">
        <v>157</v>
      </c>
      <c r="H223" t="s">
        <v>21</v>
      </c>
      <c r="I223" t="s">
        <v>53</v>
      </c>
      <c r="J223" s="4">
        <v>174567.42</v>
      </c>
      <c r="K223" t="s">
        <v>98</v>
      </c>
      <c r="L223" s="1">
        <v>45154</v>
      </c>
      <c r="M223" t="s">
        <v>113</v>
      </c>
      <c r="N223" s="4">
        <v>919157.55</v>
      </c>
      <c r="O223" t="s">
        <v>25</v>
      </c>
      <c r="P223" t="str">
        <f t="shared" si="3"/>
        <v>2023-08</v>
      </c>
    </row>
    <row r="224" spans="1:16" ht="15.75" customHeight="1" x14ac:dyDescent="0.3">
      <c r="A224" t="s">
        <v>534</v>
      </c>
      <c r="B224">
        <v>881741</v>
      </c>
      <c r="C224" t="s">
        <v>535</v>
      </c>
      <c r="D224">
        <v>559502587824</v>
      </c>
      <c r="E224" t="s">
        <v>91</v>
      </c>
      <c r="F224" t="s">
        <v>130</v>
      </c>
      <c r="G224" t="s">
        <v>157</v>
      </c>
      <c r="H224" t="s">
        <v>31</v>
      </c>
      <c r="I224" t="s">
        <v>53</v>
      </c>
      <c r="J224" s="4">
        <v>174088.39</v>
      </c>
      <c r="K224" t="s">
        <v>32</v>
      </c>
      <c r="L224" s="1">
        <v>45131</v>
      </c>
      <c r="M224" t="s">
        <v>24</v>
      </c>
      <c r="N224" s="4">
        <v>1685483.16</v>
      </c>
      <c r="O224" t="s">
        <v>25</v>
      </c>
      <c r="P224" t="str">
        <f t="shared" si="3"/>
        <v>2023-07</v>
      </c>
    </row>
    <row r="225" spans="1:16" ht="15.75" customHeight="1" x14ac:dyDescent="0.3">
      <c r="A225" t="s">
        <v>536</v>
      </c>
      <c r="B225">
        <v>441139</v>
      </c>
      <c r="C225" t="s">
        <v>537</v>
      </c>
      <c r="D225">
        <v>411549448636</v>
      </c>
      <c r="E225" t="s">
        <v>35</v>
      </c>
      <c r="F225" t="s">
        <v>42</v>
      </c>
      <c r="G225" t="s">
        <v>157</v>
      </c>
      <c r="H225" t="s">
        <v>70</v>
      </c>
      <c r="I225" t="s">
        <v>22</v>
      </c>
      <c r="J225" s="4">
        <v>172113.86</v>
      </c>
      <c r="K225" t="s">
        <v>49</v>
      </c>
      <c r="L225" s="1">
        <v>45270</v>
      </c>
      <c r="M225" t="s">
        <v>24</v>
      </c>
      <c r="N225" s="4">
        <v>1924698.42</v>
      </c>
      <c r="O225" t="s">
        <v>25</v>
      </c>
      <c r="P225" t="str">
        <f t="shared" si="3"/>
        <v>2023-12</v>
      </c>
    </row>
    <row r="226" spans="1:16" ht="15.75" customHeight="1" x14ac:dyDescent="0.3">
      <c r="A226" t="s">
        <v>538</v>
      </c>
      <c r="B226">
        <v>265807</v>
      </c>
      <c r="C226" t="s">
        <v>539</v>
      </c>
      <c r="D226">
        <v>720641924691</v>
      </c>
      <c r="E226" t="s">
        <v>18</v>
      </c>
      <c r="F226" t="s">
        <v>46</v>
      </c>
      <c r="G226" t="s">
        <v>157</v>
      </c>
      <c r="H226" t="s">
        <v>67</v>
      </c>
      <c r="I226" t="s">
        <v>38</v>
      </c>
      <c r="J226" s="4">
        <v>163974.37</v>
      </c>
      <c r="K226" t="s">
        <v>23</v>
      </c>
      <c r="L226" s="1">
        <v>45386</v>
      </c>
      <c r="M226" t="s">
        <v>24</v>
      </c>
      <c r="N226" s="4">
        <v>284043.40999999997</v>
      </c>
      <c r="O226" t="s">
        <v>25</v>
      </c>
      <c r="P226" t="str">
        <f t="shared" si="3"/>
        <v>2024-04</v>
      </c>
    </row>
    <row r="227" spans="1:16" ht="15.75" customHeight="1" x14ac:dyDescent="0.3">
      <c r="A227" t="s">
        <v>540</v>
      </c>
      <c r="B227">
        <v>570485</v>
      </c>
      <c r="C227" t="s">
        <v>541</v>
      </c>
      <c r="D227">
        <v>773335459822</v>
      </c>
      <c r="E227" t="s">
        <v>35</v>
      </c>
      <c r="F227" t="s">
        <v>36</v>
      </c>
      <c r="G227" t="s">
        <v>157</v>
      </c>
      <c r="H227" t="s">
        <v>67</v>
      </c>
      <c r="I227" t="s">
        <v>48</v>
      </c>
      <c r="J227" s="4">
        <v>163962.70000000001</v>
      </c>
      <c r="K227" t="s">
        <v>39</v>
      </c>
      <c r="L227" s="1">
        <v>45612</v>
      </c>
      <c r="M227" t="s">
        <v>24</v>
      </c>
      <c r="N227" s="4">
        <v>1284629.1200000001</v>
      </c>
      <c r="O227" t="s">
        <v>25</v>
      </c>
      <c r="P227" t="str">
        <f t="shared" si="3"/>
        <v>2024-11</v>
      </c>
    </row>
    <row r="228" spans="1:16" ht="15.75" customHeight="1" x14ac:dyDescent="0.3">
      <c r="A228" t="s">
        <v>542</v>
      </c>
      <c r="B228">
        <v>325170</v>
      </c>
      <c r="C228" t="s">
        <v>543</v>
      </c>
      <c r="D228">
        <v>356915330199</v>
      </c>
      <c r="E228" t="s">
        <v>18</v>
      </c>
      <c r="F228" t="s">
        <v>87</v>
      </c>
      <c r="G228" t="s">
        <v>157</v>
      </c>
      <c r="H228" t="s">
        <v>70</v>
      </c>
      <c r="I228" t="s">
        <v>53</v>
      </c>
      <c r="J228" s="4">
        <v>163533.1</v>
      </c>
      <c r="K228" t="s">
        <v>32</v>
      </c>
      <c r="L228" s="1">
        <v>45843</v>
      </c>
      <c r="M228" t="s">
        <v>24</v>
      </c>
      <c r="N228" s="4">
        <v>1097203.82</v>
      </c>
      <c r="O228" t="s">
        <v>25</v>
      </c>
      <c r="P228" t="str">
        <f t="shared" si="3"/>
        <v>2025-07</v>
      </c>
    </row>
    <row r="229" spans="1:16" ht="15.75" customHeight="1" x14ac:dyDescent="0.3">
      <c r="A229" t="s">
        <v>544</v>
      </c>
      <c r="B229">
        <v>533034</v>
      </c>
      <c r="C229" t="s">
        <v>545</v>
      </c>
      <c r="D229">
        <v>393607099649</v>
      </c>
      <c r="E229" t="s">
        <v>64</v>
      </c>
      <c r="F229" t="s">
        <v>177</v>
      </c>
      <c r="G229" t="s">
        <v>157</v>
      </c>
      <c r="H229" t="s">
        <v>21</v>
      </c>
      <c r="I229" t="s">
        <v>53</v>
      </c>
      <c r="J229" s="4">
        <v>163254.69</v>
      </c>
      <c r="K229" t="s">
        <v>98</v>
      </c>
      <c r="L229" s="1">
        <v>45398</v>
      </c>
      <c r="M229" t="s">
        <v>24</v>
      </c>
      <c r="N229" s="4">
        <v>1251653.83</v>
      </c>
      <c r="O229" t="s">
        <v>25</v>
      </c>
      <c r="P229" t="str">
        <f t="shared" si="3"/>
        <v>2024-04</v>
      </c>
    </row>
    <row r="230" spans="1:16" ht="15.75" customHeight="1" x14ac:dyDescent="0.3">
      <c r="A230" t="s">
        <v>546</v>
      </c>
      <c r="B230">
        <v>677618</v>
      </c>
      <c r="C230" t="s">
        <v>547</v>
      </c>
      <c r="D230">
        <v>339400232530</v>
      </c>
      <c r="E230" t="s">
        <v>35</v>
      </c>
      <c r="F230" t="s">
        <v>136</v>
      </c>
      <c r="G230" t="s">
        <v>157</v>
      </c>
      <c r="H230" t="s">
        <v>21</v>
      </c>
      <c r="I230" t="s">
        <v>22</v>
      </c>
      <c r="J230" s="4">
        <v>162015.07</v>
      </c>
      <c r="K230" t="s">
        <v>39</v>
      </c>
      <c r="L230" s="1">
        <v>45436</v>
      </c>
      <c r="M230" t="s">
        <v>24</v>
      </c>
      <c r="N230" s="4">
        <v>852949.58000000007</v>
      </c>
      <c r="O230" t="s">
        <v>25</v>
      </c>
      <c r="P230" t="str">
        <f t="shared" si="3"/>
        <v>2024-05</v>
      </c>
    </row>
    <row r="231" spans="1:16" ht="15.75" customHeight="1" x14ac:dyDescent="0.3">
      <c r="A231" t="s">
        <v>548</v>
      </c>
      <c r="B231">
        <v>630575</v>
      </c>
      <c r="C231" t="s">
        <v>549</v>
      </c>
      <c r="D231">
        <v>675328116160</v>
      </c>
      <c r="E231" t="s">
        <v>64</v>
      </c>
      <c r="F231" t="s">
        <v>166</v>
      </c>
      <c r="G231" t="s">
        <v>157</v>
      </c>
      <c r="H231" t="s">
        <v>70</v>
      </c>
      <c r="I231" t="s">
        <v>53</v>
      </c>
      <c r="J231" s="4">
        <v>160823.4</v>
      </c>
      <c r="K231" t="s">
        <v>98</v>
      </c>
      <c r="L231" s="1">
        <v>45660</v>
      </c>
      <c r="M231" t="s">
        <v>24</v>
      </c>
      <c r="N231" s="4">
        <v>1142710.9099999999</v>
      </c>
      <c r="O231" t="s">
        <v>25</v>
      </c>
      <c r="P231" t="str">
        <f t="shared" si="3"/>
        <v>2025-01</v>
      </c>
    </row>
    <row r="232" spans="1:16" ht="15.75" customHeight="1" x14ac:dyDescent="0.3">
      <c r="A232" t="s">
        <v>550</v>
      </c>
      <c r="B232">
        <v>661610</v>
      </c>
      <c r="C232" t="s">
        <v>551</v>
      </c>
      <c r="D232">
        <v>636266180100</v>
      </c>
      <c r="E232" t="s">
        <v>18</v>
      </c>
      <c r="F232" t="s">
        <v>56</v>
      </c>
      <c r="G232" t="s">
        <v>157</v>
      </c>
      <c r="H232" t="s">
        <v>70</v>
      </c>
      <c r="I232" t="s">
        <v>48</v>
      </c>
      <c r="J232" s="4">
        <v>160451.89000000001</v>
      </c>
      <c r="K232" t="s">
        <v>49</v>
      </c>
      <c r="L232" s="1">
        <v>45835</v>
      </c>
      <c r="M232" t="s">
        <v>113</v>
      </c>
      <c r="N232" s="4">
        <v>1804511.38</v>
      </c>
      <c r="O232" t="s">
        <v>25</v>
      </c>
      <c r="P232" t="str">
        <f t="shared" si="3"/>
        <v>2025-06</v>
      </c>
    </row>
    <row r="233" spans="1:16" ht="15.75" customHeight="1" x14ac:dyDescent="0.3">
      <c r="A233" t="s">
        <v>552</v>
      </c>
      <c r="B233">
        <v>275383</v>
      </c>
      <c r="C233" t="s">
        <v>553</v>
      </c>
      <c r="D233">
        <v>349805921639</v>
      </c>
      <c r="E233" t="s">
        <v>91</v>
      </c>
      <c r="F233" t="s">
        <v>92</v>
      </c>
      <c r="G233" t="s">
        <v>157</v>
      </c>
      <c r="H233" t="s">
        <v>70</v>
      </c>
      <c r="I233" t="s">
        <v>53</v>
      </c>
      <c r="J233" s="4">
        <v>158595.54999999999</v>
      </c>
      <c r="K233" t="s">
        <v>32</v>
      </c>
      <c r="L233" s="1">
        <v>45273</v>
      </c>
      <c r="M233" t="s">
        <v>24</v>
      </c>
      <c r="N233" s="4">
        <v>1961954.36</v>
      </c>
      <c r="O233" t="s">
        <v>25</v>
      </c>
      <c r="P233" t="str">
        <f t="shared" si="3"/>
        <v>2023-12</v>
      </c>
    </row>
    <row r="234" spans="1:16" ht="15.75" customHeight="1" x14ac:dyDescent="0.3">
      <c r="A234" t="s">
        <v>554</v>
      </c>
      <c r="B234">
        <v>674437</v>
      </c>
      <c r="C234" t="s">
        <v>555</v>
      </c>
      <c r="D234">
        <v>966380460400</v>
      </c>
      <c r="E234" t="s">
        <v>28</v>
      </c>
      <c r="F234" t="s">
        <v>216</v>
      </c>
      <c r="G234" t="s">
        <v>157</v>
      </c>
      <c r="H234" t="s">
        <v>70</v>
      </c>
      <c r="I234" t="s">
        <v>53</v>
      </c>
      <c r="J234" s="4">
        <v>158285.28</v>
      </c>
      <c r="K234" t="s">
        <v>23</v>
      </c>
      <c r="L234" s="1">
        <v>45203</v>
      </c>
      <c r="M234" t="s">
        <v>24</v>
      </c>
      <c r="N234" s="4">
        <v>1096698.1000000001</v>
      </c>
      <c r="O234" t="s">
        <v>25</v>
      </c>
      <c r="P234" t="str">
        <f t="shared" si="3"/>
        <v>2023-10</v>
      </c>
    </row>
    <row r="235" spans="1:16" ht="15.75" customHeight="1" x14ac:dyDescent="0.3">
      <c r="A235" t="s">
        <v>556</v>
      </c>
      <c r="B235">
        <v>941406</v>
      </c>
      <c r="C235" t="s">
        <v>557</v>
      </c>
      <c r="D235">
        <v>148789252268</v>
      </c>
      <c r="E235" t="s">
        <v>64</v>
      </c>
      <c r="F235" t="s">
        <v>166</v>
      </c>
      <c r="G235" t="s">
        <v>157</v>
      </c>
      <c r="H235" t="s">
        <v>67</v>
      </c>
      <c r="I235" t="s">
        <v>48</v>
      </c>
      <c r="J235" s="4">
        <v>157373.9</v>
      </c>
      <c r="K235" t="s">
        <v>39</v>
      </c>
      <c r="L235" s="1">
        <v>45295</v>
      </c>
      <c r="M235" t="s">
        <v>24</v>
      </c>
      <c r="N235" s="4">
        <v>1119253.7</v>
      </c>
      <c r="O235" t="s">
        <v>25</v>
      </c>
      <c r="P235" t="str">
        <f t="shared" si="3"/>
        <v>2024-01</v>
      </c>
    </row>
    <row r="236" spans="1:16" ht="15.75" customHeight="1" x14ac:dyDescent="0.3">
      <c r="A236" t="s">
        <v>558</v>
      </c>
      <c r="B236">
        <v>112063</v>
      </c>
      <c r="C236" t="s">
        <v>559</v>
      </c>
      <c r="D236">
        <v>963159668295</v>
      </c>
      <c r="E236" t="s">
        <v>91</v>
      </c>
      <c r="F236" t="s">
        <v>130</v>
      </c>
      <c r="G236" t="s">
        <v>157</v>
      </c>
      <c r="H236" t="s">
        <v>67</v>
      </c>
      <c r="I236" t="s">
        <v>48</v>
      </c>
      <c r="J236" s="4">
        <v>156947.67000000001</v>
      </c>
      <c r="K236" t="s">
        <v>98</v>
      </c>
      <c r="L236" s="1">
        <v>45367</v>
      </c>
      <c r="M236" t="s">
        <v>168</v>
      </c>
      <c r="N236" s="4">
        <v>2010231.74</v>
      </c>
      <c r="O236" t="s">
        <v>179</v>
      </c>
      <c r="P236" t="str">
        <f t="shared" si="3"/>
        <v>2024-03</v>
      </c>
    </row>
    <row r="237" spans="1:16" ht="15.75" customHeight="1" x14ac:dyDescent="0.3">
      <c r="A237" t="s">
        <v>560</v>
      </c>
      <c r="B237">
        <v>167371</v>
      </c>
      <c r="C237" t="s">
        <v>561</v>
      </c>
      <c r="D237">
        <v>265003686340</v>
      </c>
      <c r="E237" t="s">
        <v>35</v>
      </c>
      <c r="F237" t="s">
        <v>60</v>
      </c>
      <c r="G237" t="s">
        <v>157</v>
      </c>
      <c r="H237" t="s">
        <v>21</v>
      </c>
      <c r="I237" t="s">
        <v>53</v>
      </c>
      <c r="J237" s="4">
        <v>155790.78</v>
      </c>
      <c r="K237" t="s">
        <v>49</v>
      </c>
      <c r="L237" s="1">
        <v>45576</v>
      </c>
      <c r="M237" t="s">
        <v>168</v>
      </c>
      <c r="N237" s="4">
        <v>1451827.9</v>
      </c>
      <c r="O237" t="s">
        <v>25</v>
      </c>
      <c r="P237" t="str">
        <f t="shared" si="3"/>
        <v>2024-10</v>
      </c>
    </row>
    <row r="238" spans="1:16" ht="15.75" customHeight="1" x14ac:dyDescent="0.3">
      <c r="A238" t="s">
        <v>562</v>
      </c>
      <c r="B238">
        <v>163530</v>
      </c>
      <c r="C238" t="s">
        <v>563</v>
      </c>
      <c r="D238">
        <v>284903006756</v>
      </c>
      <c r="E238" t="s">
        <v>28</v>
      </c>
      <c r="F238" t="s">
        <v>150</v>
      </c>
      <c r="G238" t="s">
        <v>131</v>
      </c>
      <c r="H238" t="s">
        <v>21</v>
      </c>
      <c r="I238" t="s">
        <v>53</v>
      </c>
      <c r="J238" s="4">
        <v>154737.07</v>
      </c>
      <c r="K238" t="s">
        <v>23</v>
      </c>
      <c r="L238" s="1">
        <v>45844</v>
      </c>
      <c r="M238" t="s">
        <v>50</v>
      </c>
      <c r="N238" s="4">
        <v>1414350.1</v>
      </c>
      <c r="O238" t="s">
        <v>25</v>
      </c>
      <c r="P238" t="str">
        <f t="shared" si="3"/>
        <v>2025-07</v>
      </c>
    </row>
    <row r="239" spans="1:16" ht="15.75" customHeight="1" x14ac:dyDescent="0.3">
      <c r="A239" t="s">
        <v>564</v>
      </c>
      <c r="B239">
        <v>450272</v>
      </c>
      <c r="C239" t="s">
        <v>565</v>
      </c>
      <c r="D239">
        <v>193418652788</v>
      </c>
      <c r="E239" t="s">
        <v>28</v>
      </c>
      <c r="F239" t="s">
        <v>79</v>
      </c>
      <c r="G239" t="s">
        <v>131</v>
      </c>
      <c r="H239" t="s">
        <v>70</v>
      </c>
      <c r="I239" t="s">
        <v>22</v>
      </c>
      <c r="J239" s="4">
        <v>153804.91</v>
      </c>
      <c r="K239" t="s">
        <v>49</v>
      </c>
      <c r="L239" s="1">
        <v>45663</v>
      </c>
      <c r="M239" t="s">
        <v>24</v>
      </c>
      <c r="N239" s="4">
        <v>1296566.75</v>
      </c>
      <c r="O239" t="s">
        <v>25</v>
      </c>
      <c r="P239" t="str">
        <f t="shared" si="3"/>
        <v>2025-01</v>
      </c>
    </row>
    <row r="240" spans="1:16" ht="15.75" customHeight="1" x14ac:dyDescent="0.3">
      <c r="A240" t="s">
        <v>566</v>
      </c>
      <c r="B240">
        <v>659251</v>
      </c>
      <c r="C240" t="s">
        <v>567</v>
      </c>
      <c r="D240">
        <v>431187283506</v>
      </c>
      <c r="E240" t="s">
        <v>91</v>
      </c>
      <c r="F240" t="s">
        <v>92</v>
      </c>
      <c r="G240" t="s">
        <v>131</v>
      </c>
      <c r="H240" t="s">
        <v>67</v>
      </c>
      <c r="I240" t="s">
        <v>48</v>
      </c>
      <c r="J240" s="4">
        <v>153284.23000000001</v>
      </c>
      <c r="K240" t="s">
        <v>49</v>
      </c>
      <c r="L240" s="1">
        <v>45526</v>
      </c>
      <c r="M240" t="s">
        <v>168</v>
      </c>
      <c r="N240" s="4">
        <v>1203807.42</v>
      </c>
      <c r="O240" t="s">
        <v>25</v>
      </c>
      <c r="P240" t="str">
        <f t="shared" si="3"/>
        <v>2024-08</v>
      </c>
    </row>
    <row r="241" spans="1:16" ht="15.75" customHeight="1" x14ac:dyDescent="0.3">
      <c r="A241" t="s">
        <v>568</v>
      </c>
      <c r="B241">
        <v>117469</v>
      </c>
      <c r="C241" t="s">
        <v>569</v>
      </c>
      <c r="D241">
        <v>145388855042</v>
      </c>
      <c r="E241" t="s">
        <v>64</v>
      </c>
      <c r="F241" t="s">
        <v>146</v>
      </c>
      <c r="G241" t="s">
        <v>131</v>
      </c>
      <c r="H241" t="s">
        <v>67</v>
      </c>
      <c r="I241" t="s">
        <v>38</v>
      </c>
      <c r="J241" s="4">
        <v>153277.59</v>
      </c>
      <c r="K241" t="s">
        <v>39</v>
      </c>
      <c r="L241" s="1">
        <v>45371</v>
      </c>
      <c r="M241" t="s">
        <v>24</v>
      </c>
      <c r="N241" s="4">
        <v>1599051.25</v>
      </c>
      <c r="O241" t="s">
        <v>25</v>
      </c>
      <c r="P241" t="str">
        <f t="shared" si="3"/>
        <v>2024-03</v>
      </c>
    </row>
    <row r="242" spans="1:16" ht="15.75" customHeight="1" x14ac:dyDescent="0.3">
      <c r="A242" t="s">
        <v>570</v>
      </c>
      <c r="B242">
        <v>725646</v>
      </c>
      <c r="C242" t="s">
        <v>571</v>
      </c>
      <c r="D242">
        <v>509479969038</v>
      </c>
      <c r="E242" t="s">
        <v>28</v>
      </c>
      <c r="F242" t="s">
        <v>29</v>
      </c>
      <c r="G242" t="s">
        <v>131</v>
      </c>
      <c r="H242" t="s">
        <v>70</v>
      </c>
      <c r="I242" t="s">
        <v>48</v>
      </c>
      <c r="J242" s="4">
        <v>152931.09</v>
      </c>
      <c r="K242" t="s">
        <v>23</v>
      </c>
      <c r="L242" s="1">
        <v>45556</v>
      </c>
      <c r="M242" t="s">
        <v>24</v>
      </c>
      <c r="N242" s="4">
        <v>1568771.1</v>
      </c>
      <c r="O242" t="s">
        <v>25</v>
      </c>
      <c r="P242" t="str">
        <f t="shared" si="3"/>
        <v>2024-09</v>
      </c>
    </row>
    <row r="243" spans="1:16" ht="15.75" customHeight="1" x14ac:dyDescent="0.3">
      <c r="A243" t="s">
        <v>572</v>
      </c>
      <c r="B243">
        <v>404602</v>
      </c>
      <c r="C243" t="s">
        <v>573</v>
      </c>
      <c r="D243">
        <v>580561786132</v>
      </c>
      <c r="E243" t="s">
        <v>64</v>
      </c>
      <c r="F243" t="s">
        <v>83</v>
      </c>
      <c r="G243" t="s">
        <v>131</v>
      </c>
      <c r="H243" t="s">
        <v>21</v>
      </c>
      <c r="I243" t="s">
        <v>53</v>
      </c>
      <c r="J243" s="4">
        <v>151847.43</v>
      </c>
      <c r="K243" t="s">
        <v>98</v>
      </c>
      <c r="L243" s="1">
        <v>45776</v>
      </c>
      <c r="M243" t="s">
        <v>24</v>
      </c>
      <c r="N243" s="4">
        <v>502408.24</v>
      </c>
      <c r="O243" t="s">
        <v>25</v>
      </c>
      <c r="P243" t="str">
        <f t="shared" si="3"/>
        <v>2025-04</v>
      </c>
    </row>
    <row r="244" spans="1:16" ht="15.75" customHeight="1" x14ac:dyDescent="0.3">
      <c r="A244" t="s">
        <v>574</v>
      </c>
      <c r="B244">
        <v>725385</v>
      </c>
      <c r="C244" t="s">
        <v>575</v>
      </c>
      <c r="D244">
        <v>446588297457</v>
      </c>
      <c r="E244" t="s">
        <v>64</v>
      </c>
      <c r="F244" t="s">
        <v>65</v>
      </c>
      <c r="G244" t="s">
        <v>131</v>
      </c>
      <c r="H244" t="s">
        <v>67</v>
      </c>
      <c r="I244" t="s">
        <v>38</v>
      </c>
      <c r="J244" s="4">
        <v>151300.17000000001</v>
      </c>
      <c r="K244" t="s">
        <v>39</v>
      </c>
      <c r="L244" s="1">
        <v>45403</v>
      </c>
      <c r="M244" t="s">
        <v>24</v>
      </c>
      <c r="N244" s="4">
        <v>995454.57999999984</v>
      </c>
      <c r="O244" t="s">
        <v>25</v>
      </c>
      <c r="P244" t="str">
        <f t="shared" si="3"/>
        <v>2024-04</v>
      </c>
    </row>
    <row r="245" spans="1:16" ht="15.75" customHeight="1" x14ac:dyDescent="0.3">
      <c r="A245" t="s">
        <v>576</v>
      </c>
      <c r="B245">
        <v>955961</v>
      </c>
      <c r="C245" t="s">
        <v>577</v>
      </c>
      <c r="D245">
        <v>702633425078</v>
      </c>
      <c r="E245" t="s">
        <v>28</v>
      </c>
      <c r="F245" t="s">
        <v>150</v>
      </c>
      <c r="G245" t="s">
        <v>131</v>
      </c>
      <c r="H245" t="s">
        <v>70</v>
      </c>
      <c r="I245" t="s">
        <v>48</v>
      </c>
      <c r="J245" s="4">
        <v>151050.63</v>
      </c>
      <c r="K245" t="s">
        <v>32</v>
      </c>
      <c r="L245" s="1">
        <v>45249</v>
      </c>
      <c r="M245" t="s">
        <v>24</v>
      </c>
      <c r="N245" s="4">
        <v>328211.21000000002</v>
      </c>
      <c r="O245" t="s">
        <v>25</v>
      </c>
      <c r="P245" t="str">
        <f t="shared" si="3"/>
        <v>2023-11</v>
      </c>
    </row>
    <row r="246" spans="1:16" ht="15.75" customHeight="1" x14ac:dyDescent="0.3">
      <c r="A246" t="s">
        <v>578</v>
      </c>
      <c r="B246">
        <v>842640</v>
      </c>
      <c r="C246" t="s">
        <v>579</v>
      </c>
      <c r="D246">
        <v>380872047716</v>
      </c>
      <c r="E246" t="s">
        <v>28</v>
      </c>
      <c r="F246" t="s">
        <v>29</v>
      </c>
      <c r="G246" t="s">
        <v>131</v>
      </c>
      <c r="H246" t="s">
        <v>21</v>
      </c>
      <c r="I246" t="s">
        <v>48</v>
      </c>
      <c r="J246" s="4">
        <v>150210.6</v>
      </c>
      <c r="K246" t="s">
        <v>23</v>
      </c>
      <c r="L246" s="1">
        <v>45744</v>
      </c>
      <c r="M246" t="s">
        <v>50</v>
      </c>
      <c r="N246" s="4">
        <v>1216224.52</v>
      </c>
      <c r="O246" t="s">
        <v>25</v>
      </c>
      <c r="P246" t="str">
        <f t="shared" si="3"/>
        <v>2025-03</v>
      </c>
    </row>
    <row r="247" spans="1:16" ht="15.75" customHeight="1" x14ac:dyDescent="0.3">
      <c r="A247" t="s">
        <v>580</v>
      </c>
      <c r="B247">
        <v>658891</v>
      </c>
      <c r="C247" t="s">
        <v>581</v>
      </c>
      <c r="D247">
        <v>714751372463</v>
      </c>
      <c r="E247" t="s">
        <v>35</v>
      </c>
      <c r="F247" t="s">
        <v>73</v>
      </c>
      <c r="G247" t="s">
        <v>131</v>
      </c>
      <c r="H247" t="s">
        <v>31</v>
      </c>
      <c r="I247" t="s">
        <v>22</v>
      </c>
      <c r="J247" s="4">
        <v>149417.23000000001</v>
      </c>
      <c r="K247" t="s">
        <v>32</v>
      </c>
      <c r="L247" s="1">
        <v>45795</v>
      </c>
      <c r="M247" t="s">
        <v>24</v>
      </c>
      <c r="N247" s="4">
        <v>963128.35000000009</v>
      </c>
      <c r="O247" t="s">
        <v>25</v>
      </c>
      <c r="P247" t="str">
        <f t="shared" si="3"/>
        <v>2025-05</v>
      </c>
    </row>
    <row r="248" spans="1:16" ht="15.75" customHeight="1" x14ac:dyDescent="0.3">
      <c r="A248" t="s">
        <v>582</v>
      </c>
      <c r="B248">
        <v>760603</v>
      </c>
      <c r="C248" t="s">
        <v>583</v>
      </c>
      <c r="D248">
        <v>138839456678</v>
      </c>
      <c r="E248" t="s">
        <v>35</v>
      </c>
      <c r="F248" t="s">
        <v>60</v>
      </c>
      <c r="G248" t="s">
        <v>131</v>
      </c>
      <c r="H248" t="s">
        <v>70</v>
      </c>
      <c r="I248" t="s">
        <v>48</v>
      </c>
      <c r="J248" s="4">
        <v>148852.68</v>
      </c>
      <c r="K248" t="s">
        <v>98</v>
      </c>
      <c r="L248" s="1">
        <v>45609</v>
      </c>
      <c r="M248" t="s">
        <v>24</v>
      </c>
      <c r="N248" s="4">
        <v>2206115.66</v>
      </c>
      <c r="O248" t="s">
        <v>25</v>
      </c>
      <c r="P248" t="str">
        <f t="shared" si="3"/>
        <v>2024-11</v>
      </c>
    </row>
    <row r="249" spans="1:16" ht="15.75" customHeight="1" x14ac:dyDescent="0.3">
      <c r="A249" t="s">
        <v>584</v>
      </c>
      <c r="B249">
        <v>433063</v>
      </c>
      <c r="C249" t="s">
        <v>585</v>
      </c>
      <c r="D249">
        <v>288046549982</v>
      </c>
      <c r="E249" t="s">
        <v>64</v>
      </c>
      <c r="F249" t="s">
        <v>177</v>
      </c>
      <c r="G249" t="s">
        <v>131</v>
      </c>
      <c r="H249" t="s">
        <v>67</v>
      </c>
      <c r="I249" t="s">
        <v>22</v>
      </c>
      <c r="J249" s="4">
        <v>147489.57999999999</v>
      </c>
      <c r="K249" t="s">
        <v>49</v>
      </c>
      <c r="L249" s="1">
        <v>45170</v>
      </c>
      <c r="M249" t="s">
        <v>24</v>
      </c>
      <c r="N249" s="4">
        <v>1521366.68</v>
      </c>
      <c r="O249" t="s">
        <v>25</v>
      </c>
      <c r="P249" t="str">
        <f t="shared" si="3"/>
        <v>2023-09</v>
      </c>
    </row>
    <row r="250" spans="1:16" ht="15.75" customHeight="1" x14ac:dyDescent="0.3">
      <c r="A250" t="s">
        <v>586</v>
      </c>
      <c r="B250">
        <v>672763</v>
      </c>
      <c r="C250" t="s">
        <v>587</v>
      </c>
      <c r="D250">
        <v>387905519517</v>
      </c>
      <c r="E250" t="s">
        <v>64</v>
      </c>
      <c r="F250" t="s">
        <v>166</v>
      </c>
      <c r="G250" t="s">
        <v>131</v>
      </c>
      <c r="H250" t="s">
        <v>21</v>
      </c>
      <c r="I250" t="s">
        <v>38</v>
      </c>
      <c r="J250" s="4">
        <v>146930.62</v>
      </c>
      <c r="K250" t="s">
        <v>23</v>
      </c>
      <c r="L250" s="1">
        <v>45619</v>
      </c>
      <c r="M250" t="s">
        <v>24</v>
      </c>
      <c r="N250" s="4">
        <v>429077.61</v>
      </c>
      <c r="O250" t="s">
        <v>25</v>
      </c>
      <c r="P250" t="str">
        <f t="shared" si="3"/>
        <v>2024-11</v>
      </c>
    </row>
    <row r="251" spans="1:16" ht="15.75" customHeight="1" x14ac:dyDescent="0.3">
      <c r="A251" t="s">
        <v>588</v>
      </c>
      <c r="B251">
        <v>833709</v>
      </c>
      <c r="C251" t="s">
        <v>589</v>
      </c>
      <c r="D251">
        <v>195214730525</v>
      </c>
      <c r="E251" t="s">
        <v>35</v>
      </c>
      <c r="F251" t="s">
        <v>73</v>
      </c>
      <c r="G251" t="s">
        <v>131</v>
      </c>
      <c r="H251" t="s">
        <v>21</v>
      </c>
      <c r="I251" t="s">
        <v>22</v>
      </c>
      <c r="J251" s="4">
        <v>145964.88</v>
      </c>
      <c r="K251" t="s">
        <v>49</v>
      </c>
      <c r="L251" s="1">
        <v>45560</v>
      </c>
      <c r="M251" t="s">
        <v>24</v>
      </c>
      <c r="N251" s="4">
        <v>2046300.22</v>
      </c>
      <c r="O251" t="s">
        <v>25</v>
      </c>
      <c r="P251" t="str">
        <f t="shared" si="3"/>
        <v>2024-09</v>
      </c>
    </row>
    <row r="252" spans="1:16" ht="15.75" customHeight="1" x14ac:dyDescent="0.3">
      <c r="A252" t="s">
        <v>590</v>
      </c>
      <c r="B252">
        <v>730030</v>
      </c>
      <c r="C252" t="s">
        <v>591</v>
      </c>
      <c r="D252">
        <v>937325765058</v>
      </c>
      <c r="E252" t="s">
        <v>35</v>
      </c>
      <c r="F252" t="s">
        <v>60</v>
      </c>
      <c r="G252" t="s">
        <v>131</v>
      </c>
      <c r="H252" t="s">
        <v>31</v>
      </c>
      <c r="I252" t="s">
        <v>48</v>
      </c>
      <c r="J252" s="4">
        <v>145852.56</v>
      </c>
      <c r="K252" t="s">
        <v>98</v>
      </c>
      <c r="L252" s="1">
        <v>45481</v>
      </c>
      <c r="M252" t="s">
        <v>24</v>
      </c>
      <c r="N252" s="4">
        <v>1682102.9</v>
      </c>
      <c r="O252" t="s">
        <v>25</v>
      </c>
      <c r="P252" t="str">
        <f t="shared" si="3"/>
        <v>2024-07</v>
      </c>
    </row>
    <row r="253" spans="1:16" ht="15.75" customHeight="1" x14ac:dyDescent="0.3">
      <c r="A253" t="s">
        <v>592</v>
      </c>
      <c r="B253">
        <v>973241</v>
      </c>
      <c r="C253" t="s">
        <v>593</v>
      </c>
      <c r="D253">
        <v>387860643996</v>
      </c>
      <c r="E253" t="s">
        <v>18</v>
      </c>
      <c r="F253" t="s">
        <v>19</v>
      </c>
      <c r="G253" t="s">
        <v>131</v>
      </c>
      <c r="H253" t="s">
        <v>21</v>
      </c>
      <c r="I253" t="s">
        <v>38</v>
      </c>
      <c r="J253" s="4">
        <v>144290.97</v>
      </c>
      <c r="K253" t="s">
        <v>49</v>
      </c>
      <c r="L253" s="1">
        <v>45414</v>
      </c>
      <c r="M253" t="s">
        <v>24</v>
      </c>
      <c r="N253" s="4">
        <v>1549364.71</v>
      </c>
      <c r="O253" t="s">
        <v>25</v>
      </c>
      <c r="P253" t="str">
        <f t="shared" si="3"/>
        <v>2024-05</v>
      </c>
    </row>
    <row r="254" spans="1:16" ht="15.75" customHeight="1" x14ac:dyDescent="0.3">
      <c r="A254" t="s">
        <v>594</v>
      </c>
      <c r="B254">
        <v>700274</v>
      </c>
      <c r="C254" t="s">
        <v>595</v>
      </c>
      <c r="D254">
        <v>780371569610</v>
      </c>
      <c r="E254" t="s">
        <v>18</v>
      </c>
      <c r="F254" t="s">
        <v>19</v>
      </c>
      <c r="G254" t="s">
        <v>131</v>
      </c>
      <c r="H254" t="s">
        <v>70</v>
      </c>
      <c r="I254" t="s">
        <v>38</v>
      </c>
      <c r="J254" s="4">
        <v>143983.29999999999</v>
      </c>
      <c r="K254" t="s">
        <v>23</v>
      </c>
      <c r="L254" s="1">
        <v>45118</v>
      </c>
      <c r="M254" t="s">
        <v>50</v>
      </c>
      <c r="N254" s="4">
        <v>1790482.77</v>
      </c>
      <c r="O254" t="s">
        <v>25</v>
      </c>
      <c r="P254" t="str">
        <f t="shared" si="3"/>
        <v>2023-07</v>
      </c>
    </row>
    <row r="255" spans="1:16" ht="15.75" customHeight="1" x14ac:dyDescent="0.3">
      <c r="A255" t="s">
        <v>596</v>
      </c>
      <c r="B255">
        <v>585434</v>
      </c>
      <c r="C255" t="s">
        <v>597</v>
      </c>
      <c r="D255">
        <v>422791292913</v>
      </c>
      <c r="E255" t="s">
        <v>91</v>
      </c>
      <c r="F255" t="s">
        <v>109</v>
      </c>
      <c r="G255" t="s">
        <v>131</v>
      </c>
      <c r="H255" t="s">
        <v>70</v>
      </c>
      <c r="I255" t="s">
        <v>48</v>
      </c>
      <c r="J255" s="4">
        <v>143368.07999999999</v>
      </c>
      <c r="K255" t="s">
        <v>23</v>
      </c>
      <c r="L255" s="1">
        <v>45413</v>
      </c>
      <c r="M255" t="s">
        <v>24</v>
      </c>
      <c r="N255" s="4">
        <v>735561.71</v>
      </c>
      <c r="O255" t="s">
        <v>25</v>
      </c>
      <c r="P255" t="str">
        <f t="shared" si="3"/>
        <v>2024-05</v>
      </c>
    </row>
    <row r="256" spans="1:16" ht="15.75" customHeight="1" x14ac:dyDescent="0.3">
      <c r="A256" t="s">
        <v>598</v>
      </c>
      <c r="B256">
        <v>709387</v>
      </c>
      <c r="C256" t="s">
        <v>599</v>
      </c>
      <c r="D256">
        <v>685617653836</v>
      </c>
      <c r="E256" t="s">
        <v>18</v>
      </c>
      <c r="F256" t="s">
        <v>19</v>
      </c>
      <c r="G256" t="s">
        <v>131</v>
      </c>
      <c r="H256" t="s">
        <v>21</v>
      </c>
      <c r="I256" t="s">
        <v>38</v>
      </c>
      <c r="J256" s="4">
        <v>143215.06</v>
      </c>
      <c r="K256" t="s">
        <v>49</v>
      </c>
      <c r="L256" s="1">
        <v>45416</v>
      </c>
      <c r="M256" t="s">
        <v>24</v>
      </c>
      <c r="N256" s="4">
        <v>583495.13</v>
      </c>
      <c r="O256" t="s">
        <v>25</v>
      </c>
      <c r="P256" t="str">
        <f t="shared" si="3"/>
        <v>2024-05</v>
      </c>
    </row>
    <row r="257" spans="1:16" ht="15.75" customHeight="1" x14ac:dyDescent="0.3">
      <c r="A257" t="s">
        <v>600</v>
      </c>
      <c r="B257">
        <v>545452</v>
      </c>
      <c r="C257" t="s">
        <v>601</v>
      </c>
      <c r="D257">
        <v>869888869752</v>
      </c>
      <c r="E257" t="s">
        <v>35</v>
      </c>
      <c r="F257" t="s">
        <v>136</v>
      </c>
      <c r="G257" t="s">
        <v>20</v>
      </c>
      <c r="H257" t="s">
        <v>21</v>
      </c>
      <c r="I257" t="s">
        <v>48</v>
      </c>
      <c r="J257" s="4">
        <v>142933.76999999999</v>
      </c>
      <c r="K257" t="s">
        <v>23</v>
      </c>
      <c r="L257" s="1">
        <v>45577</v>
      </c>
      <c r="M257" t="s">
        <v>24</v>
      </c>
      <c r="N257" s="4">
        <v>810409.84</v>
      </c>
      <c r="O257" t="s">
        <v>25</v>
      </c>
      <c r="P257" t="str">
        <f t="shared" si="3"/>
        <v>2024-10</v>
      </c>
    </row>
    <row r="258" spans="1:16" ht="15.75" customHeight="1" x14ac:dyDescent="0.3">
      <c r="A258" t="s">
        <v>602</v>
      </c>
      <c r="B258">
        <v>809306</v>
      </c>
      <c r="C258" t="s">
        <v>603</v>
      </c>
      <c r="D258">
        <v>317906843145</v>
      </c>
      <c r="E258" t="s">
        <v>35</v>
      </c>
      <c r="F258" t="s">
        <v>42</v>
      </c>
      <c r="G258" t="s">
        <v>20</v>
      </c>
      <c r="H258" t="s">
        <v>67</v>
      </c>
      <c r="I258" t="s">
        <v>38</v>
      </c>
      <c r="J258" s="4">
        <v>142440</v>
      </c>
      <c r="K258" t="s">
        <v>49</v>
      </c>
      <c r="L258" s="1">
        <v>45551</v>
      </c>
      <c r="M258" t="s">
        <v>24</v>
      </c>
      <c r="N258" s="4">
        <v>45789.930000000008</v>
      </c>
      <c r="O258" t="s">
        <v>25</v>
      </c>
      <c r="P258" t="str">
        <f t="shared" si="3"/>
        <v>2024-09</v>
      </c>
    </row>
    <row r="259" spans="1:16" ht="15.75" customHeight="1" x14ac:dyDescent="0.3">
      <c r="A259" t="s">
        <v>604</v>
      </c>
      <c r="B259">
        <v>411009</v>
      </c>
      <c r="C259" t="s">
        <v>605</v>
      </c>
      <c r="D259">
        <v>746074720789</v>
      </c>
      <c r="E259" t="s">
        <v>64</v>
      </c>
      <c r="F259" t="s">
        <v>177</v>
      </c>
      <c r="G259" t="s">
        <v>20</v>
      </c>
      <c r="H259" t="s">
        <v>31</v>
      </c>
      <c r="I259" t="s">
        <v>48</v>
      </c>
      <c r="J259" s="4">
        <v>141940.85999999999</v>
      </c>
      <c r="K259" t="s">
        <v>32</v>
      </c>
      <c r="L259" s="1">
        <v>45252</v>
      </c>
      <c r="M259" t="s">
        <v>24</v>
      </c>
      <c r="N259" s="4">
        <v>872645.98</v>
      </c>
      <c r="O259" t="s">
        <v>25</v>
      </c>
      <c r="P259" t="str">
        <f t="shared" ref="P259:P322" si="4">TEXT(L259,"yyyy-mm")</f>
        <v>2023-11</v>
      </c>
    </row>
    <row r="260" spans="1:16" ht="15.75" customHeight="1" x14ac:dyDescent="0.3">
      <c r="A260" t="s">
        <v>606</v>
      </c>
      <c r="B260">
        <v>704096</v>
      </c>
      <c r="C260" t="s">
        <v>607</v>
      </c>
      <c r="D260">
        <v>801626913319</v>
      </c>
      <c r="E260" t="s">
        <v>91</v>
      </c>
      <c r="F260" t="s">
        <v>105</v>
      </c>
      <c r="G260" t="s">
        <v>20</v>
      </c>
      <c r="H260" t="s">
        <v>70</v>
      </c>
      <c r="I260" t="s">
        <v>53</v>
      </c>
      <c r="J260" s="4">
        <v>141177.64000000001</v>
      </c>
      <c r="K260" t="s">
        <v>98</v>
      </c>
      <c r="L260" s="1">
        <v>45602</v>
      </c>
      <c r="M260" t="s">
        <v>24</v>
      </c>
      <c r="N260" s="4">
        <v>698051.12</v>
      </c>
      <c r="O260" t="s">
        <v>25</v>
      </c>
      <c r="P260" t="str">
        <f t="shared" si="4"/>
        <v>2024-11</v>
      </c>
    </row>
    <row r="261" spans="1:16" ht="15.75" customHeight="1" x14ac:dyDescent="0.3">
      <c r="A261" t="s">
        <v>608</v>
      </c>
      <c r="B261">
        <v>430975</v>
      </c>
      <c r="C261" t="s">
        <v>609</v>
      </c>
      <c r="D261">
        <v>552928908176</v>
      </c>
      <c r="E261" t="s">
        <v>35</v>
      </c>
      <c r="F261" t="s">
        <v>36</v>
      </c>
      <c r="G261" t="s">
        <v>20</v>
      </c>
      <c r="H261" t="s">
        <v>67</v>
      </c>
      <c r="I261" t="s">
        <v>48</v>
      </c>
      <c r="J261" s="4">
        <v>140084.76999999999</v>
      </c>
      <c r="K261" t="s">
        <v>98</v>
      </c>
      <c r="L261" s="1">
        <v>45240</v>
      </c>
      <c r="M261" t="s">
        <v>168</v>
      </c>
      <c r="N261" s="4">
        <v>519917.55</v>
      </c>
      <c r="O261" t="s">
        <v>25</v>
      </c>
      <c r="P261" t="str">
        <f t="shared" si="4"/>
        <v>2023-11</v>
      </c>
    </row>
    <row r="262" spans="1:16" ht="15.75" customHeight="1" x14ac:dyDescent="0.3">
      <c r="A262" t="s">
        <v>610</v>
      </c>
      <c r="B262">
        <v>675778</v>
      </c>
      <c r="C262" t="s">
        <v>611</v>
      </c>
      <c r="D262">
        <v>825799561602</v>
      </c>
      <c r="E262" t="s">
        <v>35</v>
      </c>
      <c r="F262" t="s">
        <v>42</v>
      </c>
      <c r="G262" t="s">
        <v>20</v>
      </c>
      <c r="H262" t="s">
        <v>70</v>
      </c>
      <c r="I262" t="s">
        <v>53</v>
      </c>
      <c r="J262" s="4">
        <v>138404.46</v>
      </c>
      <c r="K262" t="s">
        <v>49</v>
      </c>
      <c r="L262" s="1">
        <v>45214</v>
      </c>
      <c r="M262" t="s">
        <v>24</v>
      </c>
      <c r="N262" s="4">
        <v>1093605.24</v>
      </c>
      <c r="O262" t="s">
        <v>25</v>
      </c>
      <c r="P262" t="str">
        <f t="shared" si="4"/>
        <v>2023-10</v>
      </c>
    </row>
    <row r="263" spans="1:16" ht="15.75" customHeight="1" x14ac:dyDescent="0.3">
      <c r="A263" t="s">
        <v>612</v>
      </c>
      <c r="B263">
        <v>103977</v>
      </c>
      <c r="C263" t="s">
        <v>613</v>
      </c>
      <c r="D263">
        <v>355613348806</v>
      </c>
      <c r="E263" t="s">
        <v>91</v>
      </c>
      <c r="F263" t="s">
        <v>92</v>
      </c>
      <c r="G263" t="s">
        <v>20</v>
      </c>
      <c r="H263" t="s">
        <v>70</v>
      </c>
      <c r="I263" t="s">
        <v>48</v>
      </c>
      <c r="J263" s="4">
        <v>137525.01</v>
      </c>
      <c r="K263" t="s">
        <v>39</v>
      </c>
      <c r="L263" s="1">
        <v>45666</v>
      </c>
      <c r="M263" t="s">
        <v>24</v>
      </c>
      <c r="N263" s="4">
        <v>1309267.04</v>
      </c>
      <c r="O263" t="s">
        <v>25</v>
      </c>
      <c r="P263" t="str">
        <f t="shared" si="4"/>
        <v>2025-01</v>
      </c>
    </row>
    <row r="264" spans="1:16" ht="15.75" customHeight="1" x14ac:dyDescent="0.3">
      <c r="A264" t="s">
        <v>614</v>
      </c>
      <c r="B264">
        <v>749572</v>
      </c>
      <c r="C264" t="s">
        <v>615</v>
      </c>
      <c r="D264">
        <v>206600196087</v>
      </c>
      <c r="E264" t="s">
        <v>64</v>
      </c>
      <c r="F264" t="s">
        <v>83</v>
      </c>
      <c r="G264" t="s">
        <v>20</v>
      </c>
      <c r="H264" t="s">
        <v>70</v>
      </c>
      <c r="I264" t="s">
        <v>53</v>
      </c>
      <c r="J264" s="4">
        <v>136269.56</v>
      </c>
      <c r="K264" t="s">
        <v>23</v>
      </c>
      <c r="L264" s="1">
        <v>45240</v>
      </c>
      <c r="M264" t="s">
        <v>24</v>
      </c>
      <c r="N264" s="4">
        <v>1633607.23</v>
      </c>
      <c r="O264" t="s">
        <v>25</v>
      </c>
      <c r="P264" t="str">
        <f t="shared" si="4"/>
        <v>2023-11</v>
      </c>
    </row>
    <row r="265" spans="1:16" ht="15.75" customHeight="1" x14ac:dyDescent="0.3">
      <c r="A265" t="s">
        <v>616</v>
      </c>
      <c r="B265">
        <v>563828</v>
      </c>
      <c r="C265" t="s">
        <v>617</v>
      </c>
      <c r="D265">
        <v>124054946791</v>
      </c>
      <c r="E265" t="s">
        <v>18</v>
      </c>
      <c r="F265" t="s">
        <v>46</v>
      </c>
      <c r="G265" t="s">
        <v>20</v>
      </c>
      <c r="H265" t="s">
        <v>67</v>
      </c>
      <c r="I265" t="s">
        <v>48</v>
      </c>
      <c r="J265" s="4">
        <v>135727.92000000001</v>
      </c>
      <c r="K265" t="s">
        <v>98</v>
      </c>
      <c r="L265" s="1">
        <v>45362</v>
      </c>
      <c r="M265" t="s">
        <v>24</v>
      </c>
      <c r="N265" s="4">
        <v>840176.1399999999</v>
      </c>
      <c r="O265" t="s">
        <v>25</v>
      </c>
      <c r="P265" t="str">
        <f t="shared" si="4"/>
        <v>2024-03</v>
      </c>
    </row>
    <row r="266" spans="1:16" ht="15.75" customHeight="1" x14ac:dyDescent="0.3">
      <c r="A266" t="s">
        <v>618</v>
      </c>
      <c r="B266">
        <v>731100</v>
      </c>
      <c r="C266" t="s">
        <v>619</v>
      </c>
      <c r="D266">
        <v>262964581056</v>
      </c>
      <c r="E266" t="s">
        <v>35</v>
      </c>
      <c r="F266" t="s">
        <v>36</v>
      </c>
      <c r="G266" t="s">
        <v>20</v>
      </c>
      <c r="H266" t="s">
        <v>21</v>
      </c>
      <c r="I266" t="s">
        <v>48</v>
      </c>
      <c r="J266" s="4">
        <v>135613.45000000001</v>
      </c>
      <c r="K266" t="s">
        <v>39</v>
      </c>
      <c r="L266" s="1">
        <v>45327</v>
      </c>
      <c r="M266" t="s">
        <v>24</v>
      </c>
      <c r="N266" s="4">
        <v>642282.19999999995</v>
      </c>
      <c r="O266" t="s">
        <v>25</v>
      </c>
      <c r="P266" t="str">
        <f t="shared" si="4"/>
        <v>2024-02</v>
      </c>
    </row>
    <row r="267" spans="1:16" ht="15.75" customHeight="1" x14ac:dyDescent="0.3">
      <c r="A267" t="s">
        <v>620</v>
      </c>
      <c r="B267">
        <v>156081</v>
      </c>
      <c r="C267" t="s">
        <v>621</v>
      </c>
      <c r="D267">
        <v>211489234529</v>
      </c>
      <c r="E267" t="s">
        <v>28</v>
      </c>
      <c r="F267" t="s">
        <v>192</v>
      </c>
      <c r="G267" t="s">
        <v>20</v>
      </c>
      <c r="H267" t="s">
        <v>31</v>
      </c>
      <c r="I267" t="s">
        <v>38</v>
      </c>
      <c r="J267" s="4">
        <v>134957.76999999999</v>
      </c>
      <c r="K267" t="s">
        <v>32</v>
      </c>
      <c r="L267" s="1">
        <v>45139</v>
      </c>
      <c r="M267" t="s">
        <v>113</v>
      </c>
      <c r="N267" s="4">
        <v>1728716.25</v>
      </c>
      <c r="O267" t="s">
        <v>25</v>
      </c>
      <c r="P267" t="str">
        <f t="shared" si="4"/>
        <v>2023-08</v>
      </c>
    </row>
    <row r="268" spans="1:16" ht="15.75" customHeight="1" x14ac:dyDescent="0.3">
      <c r="A268" t="s">
        <v>622</v>
      </c>
      <c r="B268">
        <v>776252</v>
      </c>
      <c r="C268" t="s">
        <v>623</v>
      </c>
      <c r="D268">
        <v>524989289739</v>
      </c>
      <c r="E268" t="s">
        <v>64</v>
      </c>
      <c r="F268" t="s">
        <v>146</v>
      </c>
      <c r="G268" t="s">
        <v>20</v>
      </c>
      <c r="H268" t="s">
        <v>70</v>
      </c>
      <c r="I268" t="s">
        <v>53</v>
      </c>
      <c r="J268" s="4">
        <v>134600.71</v>
      </c>
      <c r="K268" t="s">
        <v>23</v>
      </c>
      <c r="L268" s="1">
        <v>45646</v>
      </c>
      <c r="M268" t="s">
        <v>113</v>
      </c>
      <c r="N268" s="4">
        <v>1960336.41</v>
      </c>
      <c r="O268" t="s">
        <v>25</v>
      </c>
      <c r="P268" t="str">
        <f t="shared" si="4"/>
        <v>2024-12</v>
      </c>
    </row>
    <row r="269" spans="1:16" ht="15.75" customHeight="1" x14ac:dyDescent="0.3">
      <c r="A269" t="s">
        <v>624</v>
      </c>
      <c r="B269">
        <v>139106</v>
      </c>
      <c r="C269" t="s">
        <v>625</v>
      </c>
      <c r="D269">
        <v>475832206582</v>
      </c>
      <c r="E269" t="s">
        <v>18</v>
      </c>
      <c r="F269" t="s">
        <v>46</v>
      </c>
      <c r="G269" t="s">
        <v>20</v>
      </c>
      <c r="H269" t="s">
        <v>67</v>
      </c>
      <c r="I269" t="s">
        <v>48</v>
      </c>
      <c r="J269" s="4">
        <v>133972.62</v>
      </c>
      <c r="K269" t="s">
        <v>98</v>
      </c>
      <c r="L269" s="1">
        <v>45222</v>
      </c>
      <c r="M269" t="s">
        <v>168</v>
      </c>
      <c r="N269" s="4">
        <v>415663.7</v>
      </c>
      <c r="O269" t="s">
        <v>25</v>
      </c>
      <c r="P269" t="str">
        <f t="shared" si="4"/>
        <v>2023-10</v>
      </c>
    </row>
    <row r="270" spans="1:16" ht="15.75" customHeight="1" x14ac:dyDescent="0.3">
      <c r="A270" t="s">
        <v>626</v>
      </c>
      <c r="B270">
        <v>694119</v>
      </c>
      <c r="C270" t="s">
        <v>627</v>
      </c>
      <c r="D270">
        <v>751228513253</v>
      </c>
      <c r="E270" t="s">
        <v>64</v>
      </c>
      <c r="F270" t="s">
        <v>166</v>
      </c>
      <c r="G270" t="s">
        <v>20</v>
      </c>
      <c r="H270" t="s">
        <v>31</v>
      </c>
      <c r="I270" t="s">
        <v>48</v>
      </c>
      <c r="J270" s="4">
        <v>133808.04</v>
      </c>
      <c r="K270" t="s">
        <v>32</v>
      </c>
      <c r="L270" s="1">
        <v>45792</v>
      </c>
      <c r="M270" t="s">
        <v>24</v>
      </c>
      <c r="N270" s="4">
        <v>1348492.26</v>
      </c>
      <c r="O270" t="s">
        <v>25</v>
      </c>
      <c r="P270" t="str">
        <f t="shared" si="4"/>
        <v>2025-05</v>
      </c>
    </row>
    <row r="271" spans="1:16" ht="15.75" customHeight="1" x14ac:dyDescent="0.3">
      <c r="A271" t="s">
        <v>628</v>
      </c>
      <c r="B271">
        <v>523970</v>
      </c>
      <c r="C271" t="s">
        <v>629</v>
      </c>
      <c r="D271">
        <v>152931021324</v>
      </c>
      <c r="E271" t="s">
        <v>18</v>
      </c>
      <c r="F271" t="s">
        <v>19</v>
      </c>
      <c r="G271" t="s">
        <v>20</v>
      </c>
      <c r="H271" t="s">
        <v>67</v>
      </c>
      <c r="I271" t="s">
        <v>53</v>
      </c>
      <c r="J271" s="4">
        <v>131363.76999999999</v>
      </c>
      <c r="K271" t="s">
        <v>23</v>
      </c>
      <c r="L271" s="1">
        <v>45295</v>
      </c>
      <c r="M271" t="s">
        <v>50</v>
      </c>
      <c r="N271" s="4">
        <v>1630300.12</v>
      </c>
      <c r="O271" t="s">
        <v>25</v>
      </c>
      <c r="P271" t="str">
        <f t="shared" si="4"/>
        <v>2024-01</v>
      </c>
    </row>
    <row r="272" spans="1:16" ht="15.75" customHeight="1" x14ac:dyDescent="0.3">
      <c r="A272" t="s">
        <v>630</v>
      </c>
      <c r="B272">
        <v>962182</v>
      </c>
      <c r="C272" t="s">
        <v>631</v>
      </c>
      <c r="D272">
        <v>943603317916</v>
      </c>
      <c r="E272" t="s">
        <v>18</v>
      </c>
      <c r="F272" t="s">
        <v>46</v>
      </c>
      <c r="G272" t="s">
        <v>20</v>
      </c>
      <c r="H272" t="s">
        <v>70</v>
      </c>
      <c r="I272" t="s">
        <v>22</v>
      </c>
      <c r="J272" s="4">
        <v>131212.89000000001</v>
      </c>
      <c r="K272" t="s">
        <v>32</v>
      </c>
      <c r="L272" s="1">
        <v>45698</v>
      </c>
      <c r="M272" t="s">
        <v>24</v>
      </c>
      <c r="N272" s="4">
        <v>1014653.83</v>
      </c>
      <c r="O272" t="s">
        <v>25</v>
      </c>
      <c r="P272" t="str">
        <f t="shared" si="4"/>
        <v>2025-02</v>
      </c>
    </row>
    <row r="273" spans="1:16" ht="15.75" customHeight="1" x14ac:dyDescent="0.3">
      <c r="A273" t="s">
        <v>632</v>
      </c>
      <c r="B273">
        <v>780928</v>
      </c>
      <c r="C273" t="s">
        <v>633</v>
      </c>
      <c r="D273">
        <v>491219042136</v>
      </c>
      <c r="E273" t="s">
        <v>35</v>
      </c>
      <c r="F273" t="s">
        <v>60</v>
      </c>
      <c r="G273" t="s">
        <v>20</v>
      </c>
      <c r="H273" t="s">
        <v>70</v>
      </c>
      <c r="I273" t="s">
        <v>38</v>
      </c>
      <c r="J273" s="4">
        <v>130332.95</v>
      </c>
      <c r="K273" t="s">
        <v>49</v>
      </c>
      <c r="L273" s="1">
        <v>45161</v>
      </c>
      <c r="M273" t="s">
        <v>24</v>
      </c>
      <c r="N273" s="4">
        <v>1977987.89</v>
      </c>
      <c r="O273" t="s">
        <v>25</v>
      </c>
      <c r="P273" t="str">
        <f t="shared" si="4"/>
        <v>2023-08</v>
      </c>
    </row>
    <row r="274" spans="1:16" ht="15.75" customHeight="1" x14ac:dyDescent="0.3">
      <c r="A274" t="s">
        <v>634</v>
      </c>
      <c r="B274">
        <v>421539</v>
      </c>
      <c r="C274" t="s">
        <v>635</v>
      </c>
      <c r="D274">
        <v>298594864896</v>
      </c>
      <c r="E274" t="s">
        <v>64</v>
      </c>
      <c r="F274" t="s">
        <v>83</v>
      </c>
      <c r="G274" t="s">
        <v>20</v>
      </c>
      <c r="H274" t="s">
        <v>67</v>
      </c>
      <c r="I274" t="s">
        <v>48</v>
      </c>
      <c r="J274" s="4">
        <v>130110.38</v>
      </c>
      <c r="K274" t="s">
        <v>23</v>
      </c>
      <c r="L274" s="1">
        <v>45757</v>
      </c>
      <c r="M274" t="s">
        <v>24</v>
      </c>
      <c r="N274" s="4">
        <v>1206544.3400000001</v>
      </c>
      <c r="O274" t="s">
        <v>25</v>
      </c>
      <c r="P274" t="str">
        <f t="shared" si="4"/>
        <v>2025-04</v>
      </c>
    </row>
    <row r="275" spans="1:16" ht="15.75" customHeight="1" x14ac:dyDescent="0.3">
      <c r="A275" t="s">
        <v>636</v>
      </c>
      <c r="B275">
        <v>826365</v>
      </c>
      <c r="C275" t="s">
        <v>637</v>
      </c>
      <c r="D275">
        <v>497519884299</v>
      </c>
      <c r="E275" t="s">
        <v>18</v>
      </c>
      <c r="F275" t="s">
        <v>156</v>
      </c>
      <c r="G275" t="s">
        <v>20</v>
      </c>
      <c r="H275" t="s">
        <v>21</v>
      </c>
      <c r="I275" t="s">
        <v>22</v>
      </c>
      <c r="J275" s="4">
        <v>130031.31</v>
      </c>
      <c r="K275" t="s">
        <v>98</v>
      </c>
      <c r="L275" s="1">
        <v>45402</v>
      </c>
      <c r="M275" t="s">
        <v>24</v>
      </c>
      <c r="N275" s="4">
        <v>1163250.32</v>
      </c>
      <c r="O275" t="s">
        <v>25</v>
      </c>
      <c r="P275" t="str">
        <f t="shared" si="4"/>
        <v>2024-04</v>
      </c>
    </row>
    <row r="276" spans="1:16" ht="15.75" customHeight="1" x14ac:dyDescent="0.3">
      <c r="A276" t="s">
        <v>638</v>
      </c>
      <c r="B276">
        <v>579900</v>
      </c>
      <c r="C276" t="s">
        <v>639</v>
      </c>
      <c r="D276">
        <v>201644180608</v>
      </c>
      <c r="E276" t="s">
        <v>28</v>
      </c>
      <c r="F276" t="s">
        <v>150</v>
      </c>
      <c r="G276" t="s">
        <v>20</v>
      </c>
      <c r="H276" t="s">
        <v>67</v>
      </c>
      <c r="I276" t="s">
        <v>38</v>
      </c>
      <c r="J276" s="4">
        <v>129936.35</v>
      </c>
      <c r="K276" t="s">
        <v>32</v>
      </c>
      <c r="L276" s="1">
        <v>45690</v>
      </c>
      <c r="M276" t="s">
        <v>24</v>
      </c>
      <c r="N276" s="4">
        <v>1739088.85</v>
      </c>
      <c r="O276" t="s">
        <v>25</v>
      </c>
      <c r="P276" t="str">
        <f t="shared" si="4"/>
        <v>2025-02</v>
      </c>
    </row>
    <row r="277" spans="1:16" ht="15.75" customHeight="1" x14ac:dyDescent="0.3">
      <c r="A277" t="s">
        <v>640</v>
      </c>
      <c r="B277">
        <v>792044</v>
      </c>
      <c r="C277" t="s">
        <v>641</v>
      </c>
      <c r="D277">
        <v>608496244258</v>
      </c>
      <c r="E277" t="s">
        <v>64</v>
      </c>
      <c r="F277" t="s">
        <v>177</v>
      </c>
      <c r="G277" t="s">
        <v>20</v>
      </c>
      <c r="H277" t="s">
        <v>31</v>
      </c>
      <c r="I277" t="s">
        <v>53</v>
      </c>
      <c r="J277" s="4">
        <v>129890.57</v>
      </c>
      <c r="K277" t="s">
        <v>23</v>
      </c>
      <c r="L277" s="1">
        <v>45734</v>
      </c>
      <c r="M277" t="s">
        <v>24</v>
      </c>
      <c r="N277" s="4">
        <v>1061842.3999999999</v>
      </c>
      <c r="O277" t="s">
        <v>25</v>
      </c>
      <c r="P277" t="str">
        <f t="shared" si="4"/>
        <v>2025-03</v>
      </c>
    </row>
    <row r="278" spans="1:16" ht="15.75" customHeight="1" x14ac:dyDescent="0.3">
      <c r="A278" t="s">
        <v>642</v>
      </c>
      <c r="B278">
        <v>854536</v>
      </c>
      <c r="C278" t="s">
        <v>643</v>
      </c>
      <c r="D278">
        <v>533388275492</v>
      </c>
      <c r="E278" t="s">
        <v>91</v>
      </c>
      <c r="F278" t="s">
        <v>109</v>
      </c>
      <c r="G278" t="s">
        <v>20</v>
      </c>
      <c r="H278" t="s">
        <v>67</v>
      </c>
      <c r="I278" t="s">
        <v>22</v>
      </c>
      <c r="J278" s="4">
        <v>129733.4</v>
      </c>
      <c r="K278" t="s">
        <v>23</v>
      </c>
      <c r="L278" s="1">
        <v>45275</v>
      </c>
      <c r="M278" t="s">
        <v>24</v>
      </c>
      <c r="N278" s="4">
        <v>981560.64999999991</v>
      </c>
      <c r="O278" t="s">
        <v>25</v>
      </c>
      <c r="P278" t="str">
        <f t="shared" si="4"/>
        <v>2023-12</v>
      </c>
    </row>
    <row r="279" spans="1:16" ht="15.75" customHeight="1" x14ac:dyDescent="0.3">
      <c r="A279" t="s">
        <v>644</v>
      </c>
      <c r="B279">
        <v>247151</v>
      </c>
      <c r="C279" t="s">
        <v>645</v>
      </c>
      <c r="D279">
        <v>926782138535</v>
      </c>
      <c r="E279" t="s">
        <v>28</v>
      </c>
      <c r="F279" t="s">
        <v>29</v>
      </c>
      <c r="G279" t="s">
        <v>20</v>
      </c>
      <c r="H279" t="s">
        <v>70</v>
      </c>
      <c r="I279" t="s">
        <v>22</v>
      </c>
      <c r="J279" s="4">
        <v>129630.37</v>
      </c>
      <c r="K279" t="s">
        <v>39</v>
      </c>
      <c r="L279" s="1">
        <v>45336</v>
      </c>
      <c r="M279" t="s">
        <v>24</v>
      </c>
      <c r="N279" s="4">
        <v>1156721.3700000001</v>
      </c>
      <c r="O279" t="s">
        <v>25</v>
      </c>
      <c r="P279" t="str">
        <f t="shared" si="4"/>
        <v>2024-02</v>
      </c>
    </row>
    <row r="280" spans="1:16" ht="15.75" customHeight="1" x14ac:dyDescent="0.3">
      <c r="A280" t="s">
        <v>646</v>
      </c>
      <c r="B280">
        <v>116982</v>
      </c>
      <c r="C280" t="s">
        <v>647</v>
      </c>
      <c r="D280">
        <v>123840092510</v>
      </c>
      <c r="E280" t="s">
        <v>18</v>
      </c>
      <c r="F280" t="s">
        <v>19</v>
      </c>
      <c r="G280" t="s">
        <v>20</v>
      </c>
      <c r="H280" t="s">
        <v>31</v>
      </c>
      <c r="I280" t="s">
        <v>48</v>
      </c>
      <c r="J280" s="4">
        <v>128481.44</v>
      </c>
      <c r="K280" t="s">
        <v>23</v>
      </c>
      <c r="L280" s="1">
        <v>45570</v>
      </c>
      <c r="M280" t="s">
        <v>24</v>
      </c>
      <c r="N280" s="4">
        <v>501200.97</v>
      </c>
      <c r="O280" t="s">
        <v>25</v>
      </c>
      <c r="P280" t="str">
        <f t="shared" si="4"/>
        <v>2024-10</v>
      </c>
    </row>
    <row r="281" spans="1:16" ht="15.75" customHeight="1" x14ac:dyDescent="0.3">
      <c r="A281" t="s">
        <v>648</v>
      </c>
      <c r="B281">
        <v>588946</v>
      </c>
      <c r="C281" t="s">
        <v>649</v>
      </c>
      <c r="D281">
        <v>171963031441</v>
      </c>
      <c r="E281" t="s">
        <v>64</v>
      </c>
      <c r="F281" t="s">
        <v>146</v>
      </c>
      <c r="G281" t="s">
        <v>20</v>
      </c>
      <c r="H281" t="s">
        <v>67</v>
      </c>
      <c r="I281" t="s">
        <v>38</v>
      </c>
      <c r="J281" s="4">
        <v>127514.79</v>
      </c>
      <c r="K281" t="s">
        <v>23</v>
      </c>
      <c r="L281" s="1">
        <v>45262</v>
      </c>
      <c r="M281" t="s">
        <v>24</v>
      </c>
      <c r="N281" s="4">
        <v>1108834.99</v>
      </c>
      <c r="O281" t="s">
        <v>25</v>
      </c>
      <c r="P281" t="str">
        <f t="shared" si="4"/>
        <v>2023-12</v>
      </c>
    </row>
    <row r="282" spans="1:16" ht="15.75" customHeight="1" x14ac:dyDescent="0.3">
      <c r="A282" t="s">
        <v>650</v>
      </c>
      <c r="B282">
        <v>316547</v>
      </c>
      <c r="C282" t="s">
        <v>651</v>
      </c>
      <c r="D282">
        <v>641936362459</v>
      </c>
      <c r="E282" t="s">
        <v>64</v>
      </c>
      <c r="F282" t="s">
        <v>146</v>
      </c>
      <c r="G282" t="s">
        <v>20</v>
      </c>
      <c r="H282" t="s">
        <v>70</v>
      </c>
      <c r="I282" t="s">
        <v>53</v>
      </c>
      <c r="J282" s="4">
        <v>127508.79</v>
      </c>
      <c r="K282" t="s">
        <v>23</v>
      </c>
      <c r="L282" s="1">
        <v>45352</v>
      </c>
      <c r="M282" t="s">
        <v>24</v>
      </c>
      <c r="N282" s="4">
        <v>1996546.47</v>
      </c>
      <c r="O282" t="s">
        <v>25</v>
      </c>
      <c r="P282" t="str">
        <f t="shared" si="4"/>
        <v>2024-03</v>
      </c>
    </row>
    <row r="283" spans="1:16" ht="15.75" customHeight="1" x14ac:dyDescent="0.3">
      <c r="A283" t="s">
        <v>652</v>
      </c>
      <c r="B283">
        <v>492092</v>
      </c>
      <c r="C283" t="s">
        <v>653</v>
      </c>
      <c r="D283">
        <v>564967692986</v>
      </c>
      <c r="E283" t="s">
        <v>28</v>
      </c>
      <c r="F283" t="s">
        <v>29</v>
      </c>
      <c r="G283" t="s">
        <v>20</v>
      </c>
      <c r="H283" t="s">
        <v>31</v>
      </c>
      <c r="I283" t="s">
        <v>48</v>
      </c>
      <c r="J283" s="4">
        <v>126982.03</v>
      </c>
      <c r="K283" t="s">
        <v>32</v>
      </c>
      <c r="L283" s="1">
        <v>45243</v>
      </c>
      <c r="M283" t="s">
        <v>24</v>
      </c>
      <c r="N283" s="4">
        <v>1018560.23</v>
      </c>
      <c r="O283" t="s">
        <v>25</v>
      </c>
      <c r="P283" t="str">
        <f t="shared" si="4"/>
        <v>2023-11</v>
      </c>
    </row>
    <row r="284" spans="1:16" ht="15.75" customHeight="1" x14ac:dyDescent="0.3">
      <c r="A284" t="s">
        <v>654</v>
      </c>
      <c r="B284">
        <v>689047</v>
      </c>
      <c r="C284" t="s">
        <v>655</v>
      </c>
      <c r="D284">
        <v>494929654093</v>
      </c>
      <c r="E284" t="s">
        <v>18</v>
      </c>
      <c r="F284" t="s">
        <v>156</v>
      </c>
      <c r="G284" t="s">
        <v>20</v>
      </c>
      <c r="H284" t="s">
        <v>67</v>
      </c>
      <c r="I284" t="s">
        <v>38</v>
      </c>
      <c r="J284" s="4">
        <v>126634.62</v>
      </c>
      <c r="K284" t="s">
        <v>32</v>
      </c>
      <c r="L284" s="1">
        <v>45320</v>
      </c>
      <c r="M284" t="s">
        <v>24</v>
      </c>
      <c r="N284" s="4">
        <v>659150.17000000004</v>
      </c>
      <c r="O284" t="s">
        <v>25</v>
      </c>
      <c r="P284" t="str">
        <f t="shared" si="4"/>
        <v>2024-01</v>
      </c>
    </row>
    <row r="285" spans="1:16" ht="15.75" customHeight="1" x14ac:dyDescent="0.3">
      <c r="A285" t="s">
        <v>656</v>
      </c>
      <c r="B285">
        <v>362079</v>
      </c>
      <c r="C285" t="s">
        <v>657</v>
      </c>
      <c r="D285">
        <v>119549755173</v>
      </c>
      <c r="E285" t="s">
        <v>64</v>
      </c>
      <c r="F285" t="s">
        <v>166</v>
      </c>
      <c r="G285" t="s">
        <v>88</v>
      </c>
      <c r="H285" t="s">
        <v>31</v>
      </c>
      <c r="I285" t="s">
        <v>38</v>
      </c>
      <c r="J285" s="4">
        <v>126460.13</v>
      </c>
      <c r="K285" t="s">
        <v>23</v>
      </c>
      <c r="L285" s="1">
        <v>45621</v>
      </c>
      <c r="M285" t="s">
        <v>24</v>
      </c>
      <c r="N285" s="4">
        <v>1995705.93</v>
      </c>
      <c r="O285" t="s">
        <v>25</v>
      </c>
      <c r="P285" t="str">
        <f t="shared" si="4"/>
        <v>2024-11</v>
      </c>
    </row>
    <row r="286" spans="1:16" ht="15.75" customHeight="1" x14ac:dyDescent="0.3">
      <c r="A286" t="s">
        <v>658</v>
      </c>
      <c r="B286">
        <v>856677</v>
      </c>
      <c r="C286" t="s">
        <v>659</v>
      </c>
      <c r="D286">
        <v>124406358417</v>
      </c>
      <c r="E286" t="s">
        <v>28</v>
      </c>
      <c r="F286" t="s">
        <v>216</v>
      </c>
      <c r="G286" t="s">
        <v>88</v>
      </c>
      <c r="H286" t="s">
        <v>31</v>
      </c>
      <c r="I286" t="s">
        <v>38</v>
      </c>
      <c r="J286" s="4">
        <v>126048.15</v>
      </c>
      <c r="K286" t="s">
        <v>49</v>
      </c>
      <c r="L286" s="1">
        <v>45189</v>
      </c>
      <c r="M286" t="s">
        <v>24</v>
      </c>
      <c r="N286" s="4">
        <v>1643531.92</v>
      </c>
      <c r="O286" t="s">
        <v>25</v>
      </c>
      <c r="P286" t="str">
        <f t="shared" si="4"/>
        <v>2023-09</v>
      </c>
    </row>
    <row r="287" spans="1:16" ht="15.75" customHeight="1" x14ac:dyDescent="0.3">
      <c r="A287" t="s">
        <v>660</v>
      </c>
      <c r="B287">
        <v>740300</v>
      </c>
      <c r="C287" t="s">
        <v>661</v>
      </c>
      <c r="D287">
        <v>994560173406</v>
      </c>
      <c r="E287" t="s">
        <v>18</v>
      </c>
      <c r="F287" t="s">
        <v>19</v>
      </c>
      <c r="G287" t="s">
        <v>88</v>
      </c>
      <c r="H287" t="s">
        <v>70</v>
      </c>
      <c r="I287" t="s">
        <v>53</v>
      </c>
      <c r="J287" s="4">
        <v>125983.99</v>
      </c>
      <c r="K287" t="s">
        <v>49</v>
      </c>
      <c r="L287" s="1">
        <v>45420</v>
      </c>
      <c r="M287" t="s">
        <v>24</v>
      </c>
      <c r="N287" s="4">
        <v>2014129.86</v>
      </c>
      <c r="O287" t="s">
        <v>25</v>
      </c>
      <c r="P287" t="str">
        <f t="shared" si="4"/>
        <v>2024-05</v>
      </c>
    </row>
    <row r="288" spans="1:16" ht="15.75" customHeight="1" x14ac:dyDescent="0.3">
      <c r="A288" t="s">
        <v>662</v>
      </c>
      <c r="B288">
        <v>879380</v>
      </c>
      <c r="C288" t="s">
        <v>663</v>
      </c>
      <c r="D288">
        <v>136882903943</v>
      </c>
      <c r="E288" t="s">
        <v>35</v>
      </c>
      <c r="F288" t="s">
        <v>136</v>
      </c>
      <c r="G288" t="s">
        <v>88</v>
      </c>
      <c r="H288" t="s">
        <v>21</v>
      </c>
      <c r="I288" t="s">
        <v>53</v>
      </c>
      <c r="J288" s="4">
        <v>125796.18</v>
      </c>
      <c r="K288" t="s">
        <v>23</v>
      </c>
      <c r="L288" s="1">
        <v>45279</v>
      </c>
      <c r="M288" t="s">
        <v>24</v>
      </c>
      <c r="N288" s="4">
        <v>1603328.83</v>
      </c>
      <c r="O288" t="s">
        <v>25</v>
      </c>
      <c r="P288" t="str">
        <f t="shared" si="4"/>
        <v>2023-12</v>
      </c>
    </row>
    <row r="289" spans="1:16" ht="15.75" customHeight="1" x14ac:dyDescent="0.3">
      <c r="A289" t="s">
        <v>664</v>
      </c>
      <c r="B289">
        <v>801581</v>
      </c>
      <c r="C289" t="s">
        <v>665</v>
      </c>
      <c r="D289">
        <v>217777372658</v>
      </c>
      <c r="E289" t="s">
        <v>18</v>
      </c>
      <c r="F289" t="s">
        <v>156</v>
      </c>
      <c r="G289" t="s">
        <v>88</v>
      </c>
      <c r="H289" t="s">
        <v>70</v>
      </c>
      <c r="I289" t="s">
        <v>53</v>
      </c>
      <c r="J289" s="4">
        <v>125743.7</v>
      </c>
      <c r="K289" t="s">
        <v>23</v>
      </c>
      <c r="L289" s="1">
        <v>45255</v>
      </c>
      <c r="M289" t="s">
        <v>24</v>
      </c>
      <c r="N289" s="4">
        <v>1035990.72</v>
      </c>
      <c r="O289" t="s">
        <v>25</v>
      </c>
      <c r="P289" t="str">
        <f t="shared" si="4"/>
        <v>2023-11</v>
      </c>
    </row>
    <row r="290" spans="1:16" ht="15.75" customHeight="1" x14ac:dyDescent="0.3">
      <c r="A290" t="s">
        <v>666</v>
      </c>
      <c r="B290">
        <v>961459</v>
      </c>
      <c r="C290" t="s">
        <v>667</v>
      </c>
      <c r="D290">
        <v>437188099042</v>
      </c>
      <c r="E290" t="s">
        <v>64</v>
      </c>
      <c r="F290" t="s">
        <v>83</v>
      </c>
      <c r="G290" t="s">
        <v>88</v>
      </c>
      <c r="H290" t="s">
        <v>70</v>
      </c>
      <c r="I290" t="s">
        <v>53</v>
      </c>
      <c r="J290" s="4">
        <v>124890</v>
      </c>
      <c r="K290" t="s">
        <v>49</v>
      </c>
      <c r="L290" s="1">
        <v>45251</v>
      </c>
      <c r="M290" t="s">
        <v>24</v>
      </c>
      <c r="N290" s="4">
        <v>1340680.25</v>
      </c>
      <c r="O290" t="s">
        <v>25</v>
      </c>
      <c r="P290" t="str">
        <f t="shared" si="4"/>
        <v>2023-11</v>
      </c>
    </row>
    <row r="291" spans="1:16" ht="15.75" customHeight="1" x14ac:dyDescent="0.3">
      <c r="A291" t="s">
        <v>668</v>
      </c>
      <c r="B291">
        <v>942595</v>
      </c>
      <c r="C291" t="s">
        <v>669</v>
      </c>
      <c r="D291">
        <v>883282254049</v>
      </c>
      <c r="E291" t="s">
        <v>35</v>
      </c>
      <c r="F291" t="s">
        <v>73</v>
      </c>
      <c r="G291" t="s">
        <v>88</v>
      </c>
      <c r="H291" t="s">
        <v>31</v>
      </c>
      <c r="I291" t="s">
        <v>48</v>
      </c>
      <c r="J291" s="4">
        <v>124381.09</v>
      </c>
      <c r="K291" t="s">
        <v>49</v>
      </c>
      <c r="L291" s="1">
        <v>45541</v>
      </c>
      <c r="M291" t="s">
        <v>24</v>
      </c>
      <c r="N291" s="4">
        <v>1761005.02</v>
      </c>
      <c r="O291" t="s">
        <v>25</v>
      </c>
      <c r="P291" t="str">
        <f t="shared" si="4"/>
        <v>2024-09</v>
      </c>
    </row>
    <row r="292" spans="1:16" ht="15.75" customHeight="1" x14ac:dyDescent="0.3">
      <c r="A292" t="s">
        <v>670</v>
      </c>
      <c r="B292">
        <v>775026</v>
      </c>
      <c r="C292" t="s">
        <v>671</v>
      </c>
      <c r="D292">
        <v>462284198068</v>
      </c>
      <c r="E292" t="s">
        <v>91</v>
      </c>
      <c r="F292" t="s">
        <v>130</v>
      </c>
      <c r="G292" t="s">
        <v>88</v>
      </c>
      <c r="H292" t="s">
        <v>31</v>
      </c>
      <c r="I292" t="s">
        <v>22</v>
      </c>
      <c r="J292" s="4">
        <v>123684.75</v>
      </c>
      <c r="K292" t="s">
        <v>39</v>
      </c>
      <c r="L292" s="1">
        <v>45514</v>
      </c>
      <c r="M292" t="s">
        <v>24</v>
      </c>
      <c r="N292" s="4">
        <v>1621110.9</v>
      </c>
      <c r="O292" t="s">
        <v>25</v>
      </c>
      <c r="P292" t="str">
        <f t="shared" si="4"/>
        <v>2024-08</v>
      </c>
    </row>
    <row r="293" spans="1:16" ht="15.75" customHeight="1" x14ac:dyDescent="0.3">
      <c r="A293" t="s">
        <v>672</v>
      </c>
      <c r="B293">
        <v>433250</v>
      </c>
      <c r="C293" t="s">
        <v>673</v>
      </c>
      <c r="D293">
        <v>123226173461</v>
      </c>
      <c r="E293" t="s">
        <v>18</v>
      </c>
      <c r="F293" t="s">
        <v>156</v>
      </c>
      <c r="G293" t="s">
        <v>88</v>
      </c>
      <c r="H293" t="s">
        <v>31</v>
      </c>
      <c r="I293" t="s">
        <v>22</v>
      </c>
      <c r="J293" s="4">
        <v>122297.94</v>
      </c>
      <c r="K293" t="s">
        <v>98</v>
      </c>
      <c r="L293" s="1">
        <v>45344</v>
      </c>
      <c r="M293" t="s">
        <v>24</v>
      </c>
      <c r="N293" s="4">
        <v>2174884.65</v>
      </c>
      <c r="O293" t="s">
        <v>25</v>
      </c>
      <c r="P293" t="str">
        <f t="shared" si="4"/>
        <v>2024-02</v>
      </c>
    </row>
    <row r="294" spans="1:16" ht="15.75" customHeight="1" x14ac:dyDescent="0.3">
      <c r="A294" t="s">
        <v>674</v>
      </c>
      <c r="B294">
        <v>363910</v>
      </c>
      <c r="C294" t="s">
        <v>675</v>
      </c>
      <c r="D294">
        <v>677482806646</v>
      </c>
      <c r="E294" t="s">
        <v>64</v>
      </c>
      <c r="F294" t="s">
        <v>65</v>
      </c>
      <c r="G294" t="s">
        <v>88</v>
      </c>
      <c r="H294" t="s">
        <v>70</v>
      </c>
      <c r="I294" t="s">
        <v>53</v>
      </c>
      <c r="J294" s="4">
        <v>121786.38</v>
      </c>
      <c r="K294" t="s">
        <v>98</v>
      </c>
      <c r="L294" s="1">
        <v>45340</v>
      </c>
      <c r="M294" t="s">
        <v>24</v>
      </c>
      <c r="N294" s="4">
        <v>1359620.56</v>
      </c>
      <c r="O294" t="s">
        <v>25</v>
      </c>
      <c r="P294" t="str">
        <f t="shared" si="4"/>
        <v>2024-02</v>
      </c>
    </row>
    <row r="295" spans="1:16" ht="15.75" customHeight="1" x14ac:dyDescent="0.3">
      <c r="A295" t="s">
        <v>676</v>
      </c>
      <c r="B295">
        <v>665314</v>
      </c>
      <c r="C295" t="s">
        <v>677</v>
      </c>
      <c r="D295">
        <v>420857447807</v>
      </c>
      <c r="E295" t="s">
        <v>64</v>
      </c>
      <c r="F295" t="s">
        <v>65</v>
      </c>
      <c r="G295" t="s">
        <v>88</v>
      </c>
      <c r="H295" t="s">
        <v>70</v>
      </c>
      <c r="I295" t="s">
        <v>38</v>
      </c>
      <c r="J295" s="4">
        <v>121505.31</v>
      </c>
      <c r="K295" t="s">
        <v>23</v>
      </c>
      <c r="L295" s="1">
        <v>45210</v>
      </c>
      <c r="M295" t="s">
        <v>24</v>
      </c>
      <c r="N295" s="4">
        <v>1180805.3799999999</v>
      </c>
      <c r="O295" t="s">
        <v>25</v>
      </c>
      <c r="P295" t="str">
        <f t="shared" si="4"/>
        <v>2023-10</v>
      </c>
    </row>
    <row r="296" spans="1:16" ht="15.75" customHeight="1" x14ac:dyDescent="0.3">
      <c r="A296" t="s">
        <v>678</v>
      </c>
      <c r="B296">
        <v>560593</v>
      </c>
      <c r="C296" t="s">
        <v>679</v>
      </c>
      <c r="D296">
        <v>242581856250</v>
      </c>
      <c r="E296" t="s">
        <v>18</v>
      </c>
      <c r="F296" t="s">
        <v>56</v>
      </c>
      <c r="G296" t="s">
        <v>88</v>
      </c>
      <c r="H296" t="s">
        <v>67</v>
      </c>
      <c r="I296" t="s">
        <v>53</v>
      </c>
      <c r="J296" s="4">
        <v>121347.74</v>
      </c>
      <c r="K296" t="s">
        <v>49</v>
      </c>
      <c r="L296" s="1">
        <v>45388</v>
      </c>
      <c r="M296" t="s">
        <v>24</v>
      </c>
      <c r="N296" s="4">
        <v>1571656.18</v>
      </c>
      <c r="O296" t="s">
        <v>25</v>
      </c>
      <c r="P296" t="str">
        <f t="shared" si="4"/>
        <v>2024-04</v>
      </c>
    </row>
    <row r="297" spans="1:16" ht="15.75" customHeight="1" x14ac:dyDescent="0.3">
      <c r="A297" t="s">
        <v>680</v>
      </c>
      <c r="B297">
        <v>818431</v>
      </c>
      <c r="C297" t="s">
        <v>681</v>
      </c>
      <c r="D297">
        <v>134008821990</v>
      </c>
      <c r="E297" t="s">
        <v>18</v>
      </c>
      <c r="F297" t="s">
        <v>46</v>
      </c>
      <c r="G297" t="s">
        <v>88</v>
      </c>
      <c r="H297" t="s">
        <v>70</v>
      </c>
      <c r="I297" t="s">
        <v>38</v>
      </c>
      <c r="J297" s="4">
        <v>119830.79</v>
      </c>
      <c r="K297" t="s">
        <v>39</v>
      </c>
      <c r="L297" s="1">
        <v>45443</v>
      </c>
      <c r="M297" t="s">
        <v>24</v>
      </c>
      <c r="N297" s="4">
        <v>1748371.94</v>
      </c>
      <c r="O297" t="s">
        <v>179</v>
      </c>
      <c r="P297" t="str">
        <f t="shared" si="4"/>
        <v>2024-05</v>
      </c>
    </row>
    <row r="298" spans="1:16" ht="15.75" customHeight="1" x14ac:dyDescent="0.3">
      <c r="A298" t="s">
        <v>682</v>
      </c>
      <c r="B298">
        <v>866770</v>
      </c>
      <c r="C298" t="s">
        <v>683</v>
      </c>
      <c r="D298">
        <v>151051425844</v>
      </c>
      <c r="E298" t="s">
        <v>64</v>
      </c>
      <c r="F298" t="s">
        <v>146</v>
      </c>
      <c r="G298" t="s">
        <v>88</v>
      </c>
      <c r="H298" t="s">
        <v>31</v>
      </c>
      <c r="I298" t="s">
        <v>48</v>
      </c>
      <c r="J298" s="4">
        <v>118445.89</v>
      </c>
      <c r="K298" t="s">
        <v>32</v>
      </c>
      <c r="L298" s="1">
        <v>45753</v>
      </c>
      <c r="M298" t="s">
        <v>24</v>
      </c>
      <c r="N298" s="4">
        <v>723530.21000000008</v>
      </c>
      <c r="O298" t="s">
        <v>25</v>
      </c>
      <c r="P298" t="str">
        <f t="shared" si="4"/>
        <v>2025-04</v>
      </c>
    </row>
    <row r="299" spans="1:16" ht="15.75" customHeight="1" x14ac:dyDescent="0.3">
      <c r="A299" t="s">
        <v>684</v>
      </c>
      <c r="B299">
        <v>372542</v>
      </c>
      <c r="C299" t="s">
        <v>685</v>
      </c>
      <c r="D299">
        <v>289947365975</v>
      </c>
      <c r="E299" t="s">
        <v>28</v>
      </c>
      <c r="F299" t="s">
        <v>29</v>
      </c>
      <c r="G299" t="s">
        <v>88</v>
      </c>
      <c r="H299" t="s">
        <v>67</v>
      </c>
      <c r="I299" t="s">
        <v>22</v>
      </c>
      <c r="J299" s="4">
        <v>118082.76</v>
      </c>
      <c r="K299" t="s">
        <v>32</v>
      </c>
      <c r="L299" s="1">
        <v>45479</v>
      </c>
      <c r="M299" t="s">
        <v>24</v>
      </c>
      <c r="N299" s="4">
        <v>1973122.34</v>
      </c>
      <c r="O299" t="s">
        <v>25</v>
      </c>
      <c r="P299" t="str">
        <f t="shared" si="4"/>
        <v>2024-07</v>
      </c>
    </row>
    <row r="300" spans="1:16" ht="15.75" customHeight="1" x14ac:dyDescent="0.3">
      <c r="A300" t="s">
        <v>686</v>
      </c>
      <c r="B300">
        <v>953804</v>
      </c>
      <c r="C300" t="s">
        <v>687</v>
      </c>
      <c r="D300">
        <v>241139363334</v>
      </c>
      <c r="E300" t="s">
        <v>28</v>
      </c>
      <c r="F300" t="s">
        <v>192</v>
      </c>
      <c r="G300" t="s">
        <v>88</v>
      </c>
      <c r="H300" t="s">
        <v>67</v>
      </c>
      <c r="I300" t="s">
        <v>53</v>
      </c>
      <c r="J300" s="4">
        <v>118044.41</v>
      </c>
      <c r="K300" t="s">
        <v>39</v>
      </c>
      <c r="L300" s="1">
        <v>45426</v>
      </c>
      <c r="M300" t="s">
        <v>24</v>
      </c>
      <c r="N300" s="4">
        <v>1096499.6100000001</v>
      </c>
      <c r="O300" t="s">
        <v>25</v>
      </c>
      <c r="P300" t="str">
        <f t="shared" si="4"/>
        <v>2024-05</v>
      </c>
    </row>
    <row r="301" spans="1:16" ht="15.75" customHeight="1" x14ac:dyDescent="0.3">
      <c r="A301" t="s">
        <v>688</v>
      </c>
      <c r="B301">
        <v>916955</v>
      </c>
      <c r="C301" t="s">
        <v>689</v>
      </c>
      <c r="D301">
        <v>635029319031</v>
      </c>
      <c r="E301" t="s">
        <v>64</v>
      </c>
      <c r="F301" t="s">
        <v>65</v>
      </c>
      <c r="G301" t="s">
        <v>167</v>
      </c>
      <c r="H301" t="s">
        <v>31</v>
      </c>
      <c r="I301" t="s">
        <v>53</v>
      </c>
      <c r="J301" s="4">
        <v>116669.04</v>
      </c>
      <c r="K301" t="s">
        <v>32</v>
      </c>
      <c r="L301" s="1">
        <v>45559</v>
      </c>
      <c r="M301" t="s">
        <v>24</v>
      </c>
      <c r="N301" s="4">
        <v>1183803.32</v>
      </c>
      <c r="O301" t="s">
        <v>25</v>
      </c>
      <c r="P301" t="str">
        <f t="shared" si="4"/>
        <v>2024-09</v>
      </c>
    </row>
    <row r="302" spans="1:16" ht="15.75" customHeight="1" x14ac:dyDescent="0.3">
      <c r="A302" t="s">
        <v>690</v>
      </c>
      <c r="B302">
        <v>977193</v>
      </c>
      <c r="C302" t="s">
        <v>691</v>
      </c>
      <c r="D302">
        <v>268490351527</v>
      </c>
      <c r="E302" t="s">
        <v>91</v>
      </c>
      <c r="F302" t="s">
        <v>105</v>
      </c>
      <c r="G302" t="s">
        <v>167</v>
      </c>
      <c r="H302" t="s">
        <v>21</v>
      </c>
      <c r="I302" t="s">
        <v>38</v>
      </c>
      <c r="J302" s="4">
        <v>116639.17</v>
      </c>
      <c r="K302" t="s">
        <v>98</v>
      </c>
      <c r="L302" s="1">
        <v>45777</v>
      </c>
      <c r="M302" t="s">
        <v>24</v>
      </c>
      <c r="N302" s="4">
        <v>1159209.6200000001</v>
      </c>
      <c r="O302" t="s">
        <v>25</v>
      </c>
      <c r="P302" t="str">
        <f t="shared" si="4"/>
        <v>2025-04</v>
      </c>
    </row>
    <row r="303" spans="1:16" ht="15.75" customHeight="1" x14ac:dyDescent="0.3">
      <c r="A303" t="s">
        <v>692</v>
      </c>
      <c r="B303">
        <v>432558</v>
      </c>
      <c r="C303" t="s">
        <v>693</v>
      </c>
      <c r="D303">
        <v>584318320202</v>
      </c>
      <c r="E303" t="s">
        <v>91</v>
      </c>
      <c r="F303" t="s">
        <v>109</v>
      </c>
      <c r="G303" t="s">
        <v>167</v>
      </c>
      <c r="H303" t="s">
        <v>31</v>
      </c>
      <c r="I303" t="s">
        <v>22</v>
      </c>
      <c r="J303" s="4">
        <v>116023.92</v>
      </c>
      <c r="K303" t="s">
        <v>49</v>
      </c>
      <c r="L303" s="1">
        <v>45832</v>
      </c>
      <c r="M303" t="s">
        <v>24</v>
      </c>
      <c r="N303" s="4">
        <v>2184054.12</v>
      </c>
      <c r="O303" t="s">
        <v>25</v>
      </c>
      <c r="P303" t="str">
        <f t="shared" si="4"/>
        <v>2025-06</v>
      </c>
    </row>
    <row r="304" spans="1:16" ht="15.75" customHeight="1" x14ac:dyDescent="0.3">
      <c r="A304" t="s">
        <v>694</v>
      </c>
      <c r="B304">
        <v>240903</v>
      </c>
      <c r="C304" t="s">
        <v>695</v>
      </c>
      <c r="D304">
        <v>139932947699</v>
      </c>
      <c r="E304" t="s">
        <v>64</v>
      </c>
      <c r="F304" t="s">
        <v>146</v>
      </c>
      <c r="G304" t="s">
        <v>167</v>
      </c>
      <c r="H304" t="s">
        <v>67</v>
      </c>
      <c r="I304" t="s">
        <v>38</v>
      </c>
      <c r="J304" s="4">
        <v>115989.38</v>
      </c>
      <c r="K304" t="s">
        <v>23</v>
      </c>
      <c r="L304" s="1">
        <v>45556</v>
      </c>
      <c r="M304" t="s">
        <v>24</v>
      </c>
      <c r="N304" s="4">
        <v>1359400.18</v>
      </c>
      <c r="O304" t="s">
        <v>25</v>
      </c>
      <c r="P304" t="str">
        <f t="shared" si="4"/>
        <v>2024-09</v>
      </c>
    </row>
    <row r="305" spans="1:16" ht="15.75" customHeight="1" x14ac:dyDescent="0.3">
      <c r="A305" t="s">
        <v>696</v>
      </c>
      <c r="B305">
        <v>155800</v>
      </c>
      <c r="C305" t="s">
        <v>697</v>
      </c>
      <c r="D305">
        <v>172987559056</v>
      </c>
      <c r="E305" t="s">
        <v>28</v>
      </c>
      <c r="F305" t="s">
        <v>150</v>
      </c>
      <c r="G305" t="s">
        <v>167</v>
      </c>
      <c r="H305" t="s">
        <v>67</v>
      </c>
      <c r="I305" t="s">
        <v>53</v>
      </c>
      <c r="J305" s="4">
        <v>115885.54</v>
      </c>
      <c r="K305" t="s">
        <v>98</v>
      </c>
      <c r="L305" s="1">
        <v>45725</v>
      </c>
      <c r="M305" t="s">
        <v>24</v>
      </c>
      <c r="N305" s="4">
        <v>1782974.75</v>
      </c>
      <c r="O305" t="s">
        <v>25</v>
      </c>
      <c r="P305" t="str">
        <f t="shared" si="4"/>
        <v>2025-03</v>
      </c>
    </row>
    <row r="306" spans="1:16" ht="15.75" customHeight="1" x14ac:dyDescent="0.3">
      <c r="A306" t="s">
        <v>698</v>
      </c>
      <c r="B306">
        <v>288231</v>
      </c>
      <c r="C306" t="s">
        <v>699</v>
      </c>
      <c r="D306">
        <v>275740728802</v>
      </c>
      <c r="E306" t="s">
        <v>28</v>
      </c>
      <c r="F306" t="s">
        <v>192</v>
      </c>
      <c r="G306" t="s">
        <v>167</v>
      </c>
      <c r="H306" t="s">
        <v>31</v>
      </c>
      <c r="I306" t="s">
        <v>22</v>
      </c>
      <c r="J306" s="4">
        <v>115176.64</v>
      </c>
      <c r="K306" t="s">
        <v>32</v>
      </c>
      <c r="L306" s="1">
        <v>45770</v>
      </c>
      <c r="M306" t="s">
        <v>24</v>
      </c>
      <c r="N306" s="4">
        <v>1185408.31</v>
      </c>
      <c r="O306" t="s">
        <v>25</v>
      </c>
      <c r="P306" t="str">
        <f t="shared" si="4"/>
        <v>2025-04</v>
      </c>
    </row>
    <row r="307" spans="1:16" ht="15.75" customHeight="1" x14ac:dyDescent="0.3">
      <c r="A307" t="s">
        <v>700</v>
      </c>
      <c r="B307">
        <v>990243</v>
      </c>
      <c r="C307" t="s">
        <v>701</v>
      </c>
      <c r="D307">
        <v>549737898101</v>
      </c>
      <c r="E307" t="s">
        <v>91</v>
      </c>
      <c r="F307" t="s">
        <v>162</v>
      </c>
      <c r="G307" t="s">
        <v>167</v>
      </c>
      <c r="H307" t="s">
        <v>31</v>
      </c>
      <c r="I307" t="s">
        <v>48</v>
      </c>
      <c r="J307" s="4">
        <v>113984.02</v>
      </c>
      <c r="K307" t="s">
        <v>98</v>
      </c>
      <c r="L307" s="1">
        <v>45391</v>
      </c>
      <c r="M307" t="s">
        <v>24</v>
      </c>
      <c r="N307" s="4">
        <v>1661830.21</v>
      </c>
      <c r="O307" t="s">
        <v>25</v>
      </c>
      <c r="P307" t="str">
        <f t="shared" si="4"/>
        <v>2024-04</v>
      </c>
    </row>
    <row r="308" spans="1:16" ht="15.75" customHeight="1" x14ac:dyDescent="0.3">
      <c r="A308" t="s">
        <v>702</v>
      </c>
      <c r="B308">
        <v>311363</v>
      </c>
      <c r="C308" t="s">
        <v>703</v>
      </c>
      <c r="D308">
        <v>985206008802</v>
      </c>
      <c r="E308" t="s">
        <v>35</v>
      </c>
      <c r="F308" t="s">
        <v>42</v>
      </c>
      <c r="G308" t="s">
        <v>167</v>
      </c>
      <c r="H308" t="s">
        <v>67</v>
      </c>
      <c r="I308" t="s">
        <v>22</v>
      </c>
      <c r="J308" s="4">
        <v>113618.28</v>
      </c>
      <c r="K308" t="s">
        <v>98</v>
      </c>
      <c r="L308" s="1">
        <v>45371</v>
      </c>
      <c r="M308" t="s">
        <v>24</v>
      </c>
      <c r="N308" s="4">
        <v>1506146.94</v>
      </c>
      <c r="O308" t="s">
        <v>179</v>
      </c>
      <c r="P308" t="str">
        <f t="shared" si="4"/>
        <v>2024-03</v>
      </c>
    </row>
    <row r="309" spans="1:16" ht="15.75" customHeight="1" x14ac:dyDescent="0.3">
      <c r="A309" t="s">
        <v>704</v>
      </c>
      <c r="B309">
        <v>462822</v>
      </c>
      <c r="C309" t="s">
        <v>705</v>
      </c>
      <c r="D309">
        <v>119278894333</v>
      </c>
      <c r="E309" t="s">
        <v>18</v>
      </c>
      <c r="F309" t="s">
        <v>46</v>
      </c>
      <c r="G309" t="s">
        <v>167</v>
      </c>
      <c r="H309" t="s">
        <v>31</v>
      </c>
      <c r="I309" t="s">
        <v>53</v>
      </c>
      <c r="J309" s="4">
        <v>112622.64</v>
      </c>
      <c r="K309" t="s">
        <v>23</v>
      </c>
      <c r="L309" s="1">
        <v>45709</v>
      </c>
      <c r="M309" t="s">
        <v>24</v>
      </c>
      <c r="N309" s="4">
        <v>1579591.09</v>
      </c>
      <c r="O309" t="s">
        <v>25</v>
      </c>
      <c r="P309" t="str">
        <f t="shared" si="4"/>
        <v>2025-02</v>
      </c>
    </row>
    <row r="310" spans="1:16" ht="15.75" customHeight="1" x14ac:dyDescent="0.3">
      <c r="A310" t="s">
        <v>706</v>
      </c>
      <c r="B310">
        <v>712345</v>
      </c>
      <c r="C310" t="s">
        <v>707</v>
      </c>
      <c r="D310">
        <v>279271808282</v>
      </c>
      <c r="E310" t="s">
        <v>35</v>
      </c>
      <c r="F310" t="s">
        <v>36</v>
      </c>
      <c r="G310" t="s">
        <v>167</v>
      </c>
      <c r="H310" t="s">
        <v>21</v>
      </c>
      <c r="I310" t="s">
        <v>22</v>
      </c>
      <c r="J310" s="4">
        <v>112350.94</v>
      </c>
      <c r="K310" t="s">
        <v>23</v>
      </c>
      <c r="L310" s="1">
        <v>45315</v>
      </c>
      <c r="M310" t="s">
        <v>24</v>
      </c>
      <c r="N310" s="4">
        <v>938423.33</v>
      </c>
      <c r="O310" t="s">
        <v>25</v>
      </c>
      <c r="P310" t="str">
        <f t="shared" si="4"/>
        <v>2024-01</v>
      </c>
    </row>
    <row r="311" spans="1:16" ht="15.75" customHeight="1" x14ac:dyDescent="0.3">
      <c r="A311" t="s">
        <v>708</v>
      </c>
      <c r="B311">
        <v>113883</v>
      </c>
      <c r="C311" t="s">
        <v>709</v>
      </c>
      <c r="D311">
        <v>823851213066</v>
      </c>
      <c r="E311" t="s">
        <v>35</v>
      </c>
      <c r="F311" t="s">
        <v>36</v>
      </c>
      <c r="G311" t="s">
        <v>167</v>
      </c>
      <c r="H311" t="s">
        <v>70</v>
      </c>
      <c r="I311" t="s">
        <v>48</v>
      </c>
      <c r="J311" s="4">
        <v>111775.28</v>
      </c>
      <c r="K311" t="s">
        <v>49</v>
      </c>
      <c r="L311" s="1">
        <v>45477</v>
      </c>
      <c r="M311" t="s">
        <v>24</v>
      </c>
      <c r="N311" s="4">
        <v>431745.3</v>
      </c>
      <c r="O311" t="s">
        <v>25</v>
      </c>
      <c r="P311" t="str">
        <f t="shared" si="4"/>
        <v>2024-07</v>
      </c>
    </row>
    <row r="312" spans="1:16" ht="15.75" customHeight="1" x14ac:dyDescent="0.3">
      <c r="A312" t="s">
        <v>710</v>
      </c>
      <c r="B312">
        <v>339747</v>
      </c>
      <c r="C312" t="s">
        <v>711</v>
      </c>
      <c r="D312">
        <v>702582639068</v>
      </c>
      <c r="E312" t="s">
        <v>64</v>
      </c>
      <c r="F312" t="s">
        <v>177</v>
      </c>
      <c r="G312" t="s">
        <v>167</v>
      </c>
      <c r="H312" t="s">
        <v>21</v>
      </c>
      <c r="I312" t="s">
        <v>53</v>
      </c>
      <c r="J312" s="4">
        <v>111768.05</v>
      </c>
      <c r="K312" t="s">
        <v>98</v>
      </c>
      <c r="L312" s="1">
        <v>45378</v>
      </c>
      <c r="M312" t="s">
        <v>24</v>
      </c>
      <c r="N312" s="4">
        <v>311631.5</v>
      </c>
      <c r="O312" t="s">
        <v>25</v>
      </c>
      <c r="P312" t="str">
        <f t="shared" si="4"/>
        <v>2024-03</v>
      </c>
    </row>
    <row r="313" spans="1:16" ht="15.75" customHeight="1" x14ac:dyDescent="0.3">
      <c r="A313" t="s">
        <v>712</v>
      </c>
      <c r="B313">
        <v>124171</v>
      </c>
      <c r="C313" t="s">
        <v>713</v>
      </c>
      <c r="D313">
        <v>103490076984</v>
      </c>
      <c r="E313" t="s">
        <v>91</v>
      </c>
      <c r="F313" t="s">
        <v>105</v>
      </c>
      <c r="G313" t="s">
        <v>167</v>
      </c>
      <c r="H313" t="s">
        <v>70</v>
      </c>
      <c r="I313" t="s">
        <v>48</v>
      </c>
      <c r="J313" s="4">
        <v>111276.4</v>
      </c>
      <c r="K313" t="s">
        <v>23</v>
      </c>
      <c r="L313" s="1">
        <v>45595</v>
      </c>
      <c r="M313" t="s">
        <v>24</v>
      </c>
      <c r="N313" s="4">
        <v>1325069.24</v>
      </c>
      <c r="O313" t="s">
        <v>25</v>
      </c>
      <c r="P313" t="str">
        <f t="shared" si="4"/>
        <v>2024-10</v>
      </c>
    </row>
    <row r="314" spans="1:16" ht="15.75" customHeight="1" x14ac:dyDescent="0.3">
      <c r="A314" t="s">
        <v>714</v>
      </c>
      <c r="B314">
        <v>805755</v>
      </c>
      <c r="C314" t="s">
        <v>715</v>
      </c>
      <c r="D314">
        <v>490291230378</v>
      </c>
      <c r="E314" t="s">
        <v>91</v>
      </c>
      <c r="F314" t="s">
        <v>162</v>
      </c>
      <c r="G314" t="s">
        <v>167</v>
      </c>
      <c r="H314" t="s">
        <v>31</v>
      </c>
      <c r="I314" t="s">
        <v>22</v>
      </c>
      <c r="J314" s="4">
        <v>110972.64</v>
      </c>
      <c r="K314" t="s">
        <v>98</v>
      </c>
      <c r="L314" s="1">
        <v>45332</v>
      </c>
      <c r="M314" t="s">
        <v>50</v>
      </c>
      <c r="N314" s="4">
        <v>1684299.3</v>
      </c>
      <c r="O314" t="s">
        <v>25</v>
      </c>
      <c r="P314" t="str">
        <f t="shared" si="4"/>
        <v>2024-02</v>
      </c>
    </row>
    <row r="315" spans="1:16" ht="15.75" customHeight="1" x14ac:dyDescent="0.3">
      <c r="A315" t="s">
        <v>716</v>
      </c>
      <c r="B315">
        <v>596468</v>
      </c>
      <c r="C315" t="s">
        <v>717</v>
      </c>
      <c r="D315">
        <v>772077329179</v>
      </c>
      <c r="E315" t="s">
        <v>64</v>
      </c>
      <c r="F315" t="s">
        <v>83</v>
      </c>
      <c r="G315" t="s">
        <v>167</v>
      </c>
      <c r="H315" t="s">
        <v>31</v>
      </c>
      <c r="I315" t="s">
        <v>53</v>
      </c>
      <c r="J315" s="4">
        <v>110664.95</v>
      </c>
      <c r="K315" t="s">
        <v>49</v>
      </c>
      <c r="L315" s="1">
        <v>45576</v>
      </c>
      <c r="M315" t="s">
        <v>24</v>
      </c>
      <c r="N315" s="4">
        <v>585059.64</v>
      </c>
      <c r="O315" t="s">
        <v>25</v>
      </c>
      <c r="P315" t="str">
        <f t="shared" si="4"/>
        <v>2024-10</v>
      </c>
    </row>
    <row r="316" spans="1:16" ht="15.75" customHeight="1" x14ac:dyDescent="0.3">
      <c r="A316" t="s">
        <v>718</v>
      </c>
      <c r="B316">
        <v>111146</v>
      </c>
      <c r="C316" t="s">
        <v>719</v>
      </c>
      <c r="D316">
        <v>555859409829</v>
      </c>
      <c r="E316" t="s">
        <v>91</v>
      </c>
      <c r="F316" t="s">
        <v>130</v>
      </c>
      <c r="G316" t="s">
        <v>167</v>
      </c>
      <c r="H316" t="s">
        <v>67</v>
      </c>
      <c r="I316" t="s">
        <v>38</v>
      </c>
      <c r="J316" s="4">
        <v>109602.66</v>
      </c>
      <c r="K316" t="s">
        <v>23</v>
      </c>
      <c r="L316" s="1">
        <v>45829</v>
      </c>
      <c r="M316" t="s">
        <v>24</v>
      </c>
      <c r="N316" s="4">
        <v>400650.52</v>
      </c>
      <c r="O316" t="s">
        <v>25</v>
      </c>
      <c r="P316" t="str">
        <f t="shared" si="4"/>
        <v>2025-06</v>
      </c>
    </row>
    <row r="317" spans="1:16" ht="15.75" customHeight="1" x14ac:dyDescent="0.3">
      <c r="A317" t="s">
        <v>720</v>
      </c>
      <c r="B317">
        <v>479530</v>
      </c>
      <c r="C317" t="s">
        <v>721</v>
      </c>
      <c r="D317">
        <v>724249667582</v>
      </c>
      <c r="E317" t="s">
        <v>91</v>
      </c>
      <c r="F317" t="s">
        <v>105</v>
      </c>
      <c r="G317" t="s">
        <v>167</v>
      </c>
      <c r="H317" t="s">
        <v>67</v>
      </c>
      <c r="I317" t="s">
        <v>38</v>
      </c>
      <c r="J317" s="4">
        <v>109038.03</v>
      </c>
      <c r="K317" t="s">
        <v>32</v>
      </c>
      <c r="L317" s="1">
        <v>45374</v>
      </c>
      <c r="M317" t="s">
        <v>24</v>
      </c>
      <c r="N317" s="4">
        <v>788581.85</v>
      </c>
      <c r="O317" t="s">
        <v>25</v>
      </c>
      <c r="P317" t="str">
        <f t="shared" si="4"/>
        <v>2024-03</v>
      </c>
    </row>
    <row r="318" spans="1:16" ht="15.75" customHeight="1" x14ac:dyDescent="0.3">
      <c r="A318" t="s">
        <v>722</v>
      </c>
      <c r="B318">
        <v>937519</v>
      </c>
      <c r="C318" t="s">
        <v>723</v>
      </c>
      <c r="D318">
        <v>902094706216</v>
      </c>
      <c r="E318" t="s">
        <v>64</v>
      </c>
      <c r="F318" t="s">
        <v>166</v>
      </c>
      <c r="G318" t="s">
        <v>167</v>
      </c>
      <c r="H318" t="s">
        <v>31</v>
      </c>
      <c r="I318" t="s">
        <v>22</v>
      </c>
      <c r="J318" s="4">
        <v>108963.54</v>
      </c>
      <c r="K318" t="s">
        <v>39</v>
      </c>
      <c r="L318" s="1">
        <v>45708</v>
      </c>
      <c r="M318" t="s">
        <v>24</v>
      </c>
      <c r="N318" s="4">
        <v>239240.66</v>
      </c>
      <c r="O318" t="s">
        <v>25</v>
      </c>
      <c r="P318" t="str">
        <f t="shared" si="4"/>
        <v>2025-02</v>
      </c>
    </row>
    <row r="319" spans="1:16" ht="15.75" customHeight="1" x14ac:dyDescent="0.3">
      <c r="A319" t="s">
        <v>724</v>
      </c>
      <c r="B319">
        <v>557246</v>
      </c>
      <c r="C319" t="s">
        <v>725</v>
      </c>
      <c r="D319">
        <v>565539620553</v>
      </c>
      <c r="E319" t="s">
        <v>18</v>
      </c>
      <c r="F319" t="s">
        <v>19</v>
      </c>
      <c r="G319" t="s">
        <v>167</v>
      </c>
      <c r="H319" t="s">
        <v>70</v>
      </c>
      <c r="I319" t="s">
        <v>38</v>
      </c>
      <c r="J319" s="4">
        <v>108609.83</v>
      </c>
      <c r="K319" t="s">
        <v>98</v>
      </c>
      <c r="L319" s="1">
        <v>45608</v>
      </c>
      <c r="M319" t="s">
        <v>24</v>
      </c>
      <c r="N319" s="4">
        <v>1272270</v>
      </c>
      <c r="O319" t="s">
        <v>25</v>
      </c>
      <c r="P319" t="str">
        <f t="shared" si="4"/>
        <v>2024-11</v>
      </c>
    </row>
    <row r="320" spans="1:16" ht="15.75" customHeight="1" x14ac:dyDescent="0.3">
      <c r="A320" t="s">
        <v>726</v>
      </c>
      <c r="B320">
        <v>959323</v>
      </c>
      <c r="C320" t="s">
        <v>727</v>
      </c>
      <c r="D320">
        <v>432335197720</v>
      </c>
      <c r="E320" t="s">
        <v>28</v>
      </c>
      <c r="F320" t="s">
        <v>150</v>
      </c>
      <c r="G320" t="s">
        <v>167</v>
      </c>
      <c r="H320" t="s">
        <v>21</v>
      </c>
      <c r="I320" t="s">
        <v>53</v>
      </c>
      <c r="J320" s="4">
        <v>108072.78</v>
      </c>
      <c r="K320" t="s">
        <v>49</v>
      </c>
      <c r="L320" s="1">
        <v>45338</v>
      </c>
      <c r="M320" t="s">
        <v>24</v>
      </c>
      <c r="N320" s="4">
        <v>648457.01</v>
      </c>
      <c r="O320" t="s">
        <v>25</v>
      </c>
      <c r="P320" t="str">
        <f t="shared" si="4"/>
        <v>2024-02</v>
      </c>
    </row>
    <row r="321" spans="1:16" ht="15.75" customHeight="1" x14ac:dyDescent="0.3">
      <c r="A321" t="s">
        <v>728</v>
      </c>
      <c r="B321">
        <v>931835</v>
      </c>
      <c r="C321" t="s">
        <v>729</v>
      </c>
      <c r="D321">
        <v>130206487294</v>
      </c>
      <c r="E321" t="s">
        <v>35</v>
      </c>
      <c r="F321" t="s">
        <v>73</v>
      </c>
      <c r="G321" t="s">
        <v>167</v>
      </c>
      <c r="H321" t="s">
        <v>67</v>
      </c>
      <c r="I321" t="s">
        <v>38</v>
      </c>
      <c r="J321" s="4">
        <v>107276.07</v>
      </c>
      <c r="K321" t="s">
        <v>32</v>
      </c>
      <c r="L321" s="1">
        <v>45716</v>
      </c>
      <c r="M321" t="s">
        <v>24</v>
      </c>
      <c r="N321" s="4">
        <v>278385.8</v>
      </c>
      <c r="O321" t="s">
        <v>25</v>
      </c>
      <c r="P321" t="str">
        <f t="shared" si="4"/>
        <v>2025-02</v>
      </c>
    </row>
    <row r="322" spans="1:16" ht="15.75" customHeight="1" x14ac:dyDescent="0.3">
      <c r="A322" t="s">
        <v>730</v>
      </c>
      <c r="B322">
        <v>181715</v>
      </c>
      <c r="C322" t="s">
        <v>731</v>
      </c>
      <c r="D322">
        <v>924632714359</v>
      </c>
      <c r="E322" t="s">
        <v>18</v>
      </c>
      <c r="F322" t="s">
        <v>19</v>
      </c>
      <c r="G322" t="s">
        <v>167</v>
      </c>
      <c r="H322" t="s">
        <v>31</v>
      </c>
      <c r="I322" t="s">
        <v>22</v>
      </c>
      <c r="J322" s="4">
        <v>106758.52</v>
      </c>
      <c r="K322" t="s">
        <v>98</v>
      </c>
      <c r="L322" s="1">
        <v>45537</v>
      </c>
      <c r="M322" t="s">
        <v>24</v>
      </c>
      <c r="N322" s="4">
        <v>458407.24</v>
      </c>
      <c r="O322" t="s">
        <v>25</v>
      </c>
      <c r="P322" t="str">
        <f t="shared" si="4"/>
        <v>2024-09</v>
      </c>
    </row>
    <row r="323" spans="1:16" ht="15.75" customHeight="1" x14ac:dyDescent="0.3">
      <c r="A323" t="s">
        <v>732</v>
      </c>
      <c r="B323">
        <v>300670</v>
      </c>
      <c r="C323" t="s">
        <v>733</v>
      </c>
      <c r="D323">
        <v>477182324308</v>
      </c>
      <c r="E323" t="s">
        <v>91</v>
      </c>
      <c r="F323" t="s">
        <v>105</v>
      </c>
      <c r="G323" t="s">
        <v>106</v>
      </c>
      <c r="H323" t="s">
        <v>70</v>
      </c>
      <c r="I323" t="s">
        <v>53</v>
      </c>
      <c r="J323" s="4">
        <v>104110.42</v>
      </c>
      <c r="K323" t="s">
        <v>98</v>
      </c>
      <c r="L323" s="1">
        <v>45413</v>
      </c>
      <c r="M323" t="s">
        <v>24</v>
      </c>
      <c r="N323" s="4">
        <v>841969.9</v>
      </c>
      <c r="O323" t="s">
        <v>25</v>
      </c>
      <c r="P323" t="str">
        <f t="shared" ref="P323:P386" si="5">TEXT(L323,"yyyy-mm")</f>
        <v>2024-05</v>
      </c>
    </row>
    <row r="324" spans="1:16" ht="15.75" customHeight="1" x14ac:dyDescent="0.3">
      <c r="A324" t="s">
        <v>734</v>
      </c>
      <c r="B324">
        <v>405161</v>
      </c>
      <c r="C324" t="s">
        <v>735</v>
      </c>
      <c r="D324">
        <v>476384442388</v>
      </c>
      <c r="E324" t="s">
        <v>91</v>
      </c>
      <c r="F324" t="s">
        <v>109</v>
      </c>
      <c r="G324" t="s">
        <v>106</v>
      </c>
      <c r="H324" t="s">
        <v>67</v>
      </c>
      <c r="I324" t="s">
        <v>22</v>
      </c>
      <c r="J324" s="4">
        <v>104083.23</v>
      </c>
      <c r="K324" t="s">
        <v>23</v>
      </c>
      <c r="L324" s="1">
        <v>45248</v>
      </c>
      <c r="M324" t="s">
        <v>24</v>
      </c>
      <c r="N324" s="4">
        <v>840788.77</v>
      </c>
      <c r="O324" t="s">
        <v>25</v>
      </c>
      <c r="P324" t="str">
        <f t="shared" si="5"/>
        <v>2023-11</v>
      </c>
    </row>
    <row r="325" spans="1:16" ht="15.75" customHeight="1" x14ac:dyDescent="0.3">
      <c r="A325" t="s">
        <v>736</v>
      </c>
      <c r="B325">
        <v>981665</v>
      </c>
      <c r="C325" t="s">
        <v>737</v>
      </c>
      <c r="D325">
        <v>126907120490</v>
      </c>
      <c r="E325" t="s">
        <v>35</v>
      </c>
      <c r="F325" t="s">
        <v>136</v>
      </c>
      <c r="G325" t="s">
        <v>106</v>
      </c>
      <c r="H325" t="s">
        <v>31</v>
      </c>
      <c r="I325" t="s">
        <v>22</v>
      </c>
      <c r="J325" s="4">
        <v>103723.98</v>
      </c>
      <c r="K325" t="s">
        <v>23</v>
      </c>
      <c r="L325" s="1">
        <v>45761</v>
      </c>
      <c r="M325" t="s">
        <v>24</v>
      </c>
      <c r="N325" s="4">
        <v>1118140.79</v>
      </c>
      <c r="O325" t="s">
        <v>25</v>
      </c>
      <c r="P325" t="str">
        <f t="shared" si="5"/>
        <v>2025-04</v>
      </c>
    </row>
    <row r="326" spans="1:16" ht="15.75" customHeight="1" x14ac:dyDescent="0.3">
      <c r="A326" t="s">
        <v>738</v>
      </c>
      <c r="B326">
        <v>355753</v>
      </c>
      <c r="C326" t="s">
        <v>739</v>
      </c>
      <c r="D326">
        <v>882143942859</v>
      </c>
      <c r="E326" t="s">
        <v>18</v>
      </c>
      <c r="F326" t="s">
        <v>87</v>
      </c>
      <c r="G326" t="s">
        <v>106</v>
      </c>
      <c r="H326" t="s">
        <v>21</v>
      </c>
      <c r="I326" t="s">
        <v>38</v>
      </c>
      <c r="J326" s="4">
        <v>103601.04</v>
      </c>
      <c r="K326" t="s">
        <v>32</v>
      </c>
      <c r="L326" s="1">
        <v>45434</v>
      </c>
      <c r="M326" t="s">
        <v>24</v>
      </c>
      <c r="N326" s="4">
        <v>642724.73</v>
      </c>
      <c r="O326" t="s">
        <v>25</v>
      </c>
      <c r="P326" t="str">
        <f t="shared" si="5"/>
        <v>2024-05</v>
      </c>
    </row>
    <row r="327" spans="1:16" ht="15.75" customHeight="1" x14ac:dyDescent="0.3">
      <c r="A327" t="s">
        <v>740</v>
      </c>
      <c r="B327">
        <v>159266</v>
      </c>
      <c r="C327" t="s">
        <v>741</v>
      </c>
      <c r="D327">
        <v>133268629842</v>
      </c>
      <c r="E327" t="s">
        <v>28</v>
      </c>
      <c r="F327" t="s">
        <v>79</v>
      </c>
      <c r="G327" t="s">
        <v>106</v>
      </c>
      <c r="H327" t="s">
        <v>70</v>
      </c>
      <c r="I327" t="s">
        <v>48</v>
      </c>
      <c r="J327" s="4">
        <v>103224.63</v>
      </c>
      <c r="K327" t="s">
        <v>23</v>
      </c>
      <c r="L327" s="1">
        <v>45618</v>
      </c>
      <c r="M327" t="s">
        <v>24</v>
      </c>
      <c r="N327" s="4">
        <v>2009108.15</v>
      </c>
      <c r="O327" t="s">
        <v>25</v>
      </c>
      <c r="P327" t="str">
        <f t="shared" si="5"/>
        <v>2024-11</v>
      </c>
    </row>
    <row r="328" spans="1:16" ht="15.75" customHeight="1" x14ac:dyDescent="0.3">
      <c r="A328" t="s">
        <v>742</v>
      </c>
      <c r="B328">
        <v>879301</v>
      </c>
      <c r="C328" t="s">
        <v>743</v>
      </c>
      <c r="D328">
        <v>433805514591</v>
      </c>
      <c r="E328" t="s">
        <v>35</v>
      </c>
      <c r="F328" t="s">
        <v>42</v>
      </c>
      <c r="G328" t="s">
        <v>106</v>
      </c>
      <c r="H328" t="s">
        <v>67</v>
      </c>
      <c r="I328" t="s">
        <v>22</v>
      </c>
      <c r="J328" s="4">
        <v>102467.43</v>
      </c>
      <c r="K328" t="s">
        <v>39</v>
      </c>
      <c r="L328" s="1">
        <v>45599</v>
      </c>
      <c r="M328" t="s">
        <v>24</v>
      </c>
      <c r="N328" s="4">
        <v>1036192.27</v>
      </c>
      <c r="O328" t="s">
        <v>25</v>
      </c>
      <c r="P328" t="str">
        <f t="shared" si="5"/>
        <v>2024-11</v>
      </c>
    </row>
    <row r="329" spans="1:16" ht="15.75" customHeight="1" x14ac:dyDescent="0.3">
      <c r="A329" t="s">
        <v>744</v>
      </c>
      <c r="B329">
        <v>116476</v>
      </c>
      <c r="C329" t="s">
        <v>745</v>
      </c>
      <c r="D329">
        <v>406498403510</v>
      </c>
      <c r="E329" t="s">
        <v>91</v>
      </c>
      <c r="F329" t="s">
        <v>162</v>
      </c>
      <c r="G329" t="s">
        <v>106</v>
      </c>
      <c r="H329" t="s">
        <v>31</v>
      </c>
      <c r="I329" t="s">
        <v>53</v>
      </c>
      <c r="J329" s="4">
        <v>102247.08</v>
      </c>
      <c r="K329" t="s">
        <v>23</v>
      </c>
      <c r="L329" s="1">
        <v>45598</v>
      </c>
      <c r="M329" t="s">
        <v>24</v>
      </c>
      <c r="N329" s="4">
        <v>1438950.54</v>
      </c>
      <c r="O329" t="s">
        <v>25</v>
      </c>
      <c r="P329" t="str">
        <f t="shared" si="5"/>
        <v>2024-11</v>
      </c>
    </row>
    <row r="330" spans="1:16" ht="15.75" customHeight="1" x14ac:dyDescent="0.3">
      <c r="A330" t="s">
        <v>746</v>
      </c>
      <c r="B330">
        <v>981915</v>
      </c>
      <c r="C330" t="s">
        <v>747</v>
      </c>
      <c r="D330">
        <v>577554548613</v>
      </c>
      <c r="E330" t="s">
        <v>28</v>
      </c>
      <c r="F330" t="s">
        <v>150</v>
      </c>
      <c r="G330" t="s">
        <v>106</v>
      </c>
      <c r="H330" t="s">
        <v>31</v>
      </c>
      <c r="I330" t="s">
        <v>48</v>
      </c>
      <c r="J330" s="4">
        <v>102192.65</v>
      </c>
      <c r="K330" t="s">
        <v>49</v>
      </c>
      <c r="L330" s="1">
        <v>45153</v>
      </c>
      <c r="M330" t="s">
        <v>24</v>
      </c>
      <c r="N330" s="4">
        <v>318461.15000000002</v>
      </c>
      <c r="O330" t="s">
        <v>25</v>
      </c>
      <c r="P330" t="str">
        <f t="shared" si="5"/>
        <v>2023-08</v>
      </c>
    </row>
    <row r="331" spans="1:16" ht="15.75" customHeight="1" x14ac:dyDescent="0.3">
      <c r="A331" t="s">
        <v>748</v>
      </c>
      <c r="B331">
        <v>569629</v>
      </c>
      <c r="C331" t="s">
        <v>749</v>
      </c>
      <c r="D331">
        <v>884210811039</v>
      </c>
      <c r="E331" t="s">
        <v>64</v>
      </c>
      <c r="F331" t="s">
        <v>166</v>
      </c>
      <c r="G331" t="s">
        <v>106</v>
      </c>
      <c r="H331" t="s">
        <v>31</v>
      </c>
      <c r="I331" t="s">
        <v>38</v>
      </c>
      <c r="J331" s="4">
        <v>101848.93</v>
      </c>
      <c r="K331" t="s">
        <v>98</v>
      </c>
      <c r="L331" s="1">
        <v>45185</v>
      </c>
      <c r="M331" t="s">
        <v>24</v>
      </c>
      <c r="N331" s="4">
        <v>167769.03</v>
      </c>
      <c r="O331" t="s">
        <v>25</v>
      </c>
      <c r="P331" t="str">
        <f t="shared" si="5"/>
        <v>2023-09</v>
      </c>
    </row>
    <row r="332" spans="1:16" ht="15.75" customHeight="1" x14ac:dyDescent="0.3">
      <c r="A332" t="s">
        <v>750</v>
      </c>
      <c r="B332">
        <v>143218</v>
      </c>
      <c r="C332" t="s">
        <v>751</v>
      </c>
      <c r="D332">
        <v>428200261572</v>
      </c>
      <c r="E332" t="s">
        <v>35</v>
      </c>
      <c r="F332" t="s">
        <v>136</v>
      </c>
      <c r="G332" t="s">
        <v>106</v>
      </c>
      <c r="H332" t="s">
        <v>67</v>
      </c>
      <c r="I332" t="s">
        <v>38</v>
      </c>
      <c r="J332" s="4">
        <v>101567.88</v>
      </c>
      <c r="K332" t="s">
        <v>98</v>
      </c>
      <c r="L332" s="1">
        <v>45835</v>
      </c>
      <c r="M332" t="s">
        <v>24</v>
      </c>
      <c r="N332" s="4">
        <v>918862.34</v>
      </c>
      <c r="O332" t="s">
        <v>25</v>
      </c>
      <c r="P332" t="str">
        <f t="shared" si="5"/>
        <v>2025-06</v>
      </c>
    </row>
    <row r="333" spans="1:16" ht="15.75" customHeight="1" x14ac:dyDescent="0.3">
      <c r="A333" t="s">
        <v>752</v>
      </c>
      <c r="B333">
        <v>985381</v>
      </c>
      <c r="C333" t="s">
        <v>753</v>
      </c>
      <c r="D333">
        <v>113639393827</v>
      </c>
      <c r="E333" t="s">
        <v>91</v>
      </c>
      <c r="F333" t="s">
        <v>109</v>
      </c>
      <c r="G333" t="s">
        <v>106</v>
      </c>
      <c r="H333" t="s">
        <v>31</v>
      </c>
      <c r="I333" t="s">
        <v>53</v>
      </c>
      <c r="J333" s="4">
        <v>99147.16</v>
      </c>
      <c r="K333" t="s">
        <v>49</v>
      </c>
      <c r="L333" s="1">
        <v>45131</v>
      </c>
      <c r="M333" t="s">
        <v>50</v>
      </c>
      <c r="N333" s="4">
        <v>1904176.83</v>
      </c>
      <c r="O333" t="s">
        <v>25</v>
      </c>
      <c r="P333" t="str">
        <f t="shared" si="5"/>
        <v>2023-07</v>
      </c>
    </row>
    <row r="334" spans="1:16" ht="15.75" customHeight="1" x14ac:dyDescent="0.3">
      <c r="A334" t="s">
        <v>754</v>
      </c>
      <c r="B334">
        <v>894517</v>
      </c>
      <c r="C334" t="s">
        <v>755</v>
      </c>
      <c r="D334">
        <v>633651930756</v>
      </c>
      <c r="E334" t="s">
        <v>28</v>
      </c>
      <c r="F334" t="s">
        <v>216</v>
      </c>
      <c r="G334" t="s">
        <v>106</v>
      </c>
      <c r="H334" t="s">
        <v>21</v>
      </c>
      <c r="I334" t="s">
        <v>53</v>
      </c>
      <c r="J334" s="4">
        <v>98802.85</v>
      </c>
      <c r="K334" t="s">
        <v>39</v>
      </c>
      <c r="L334" s="1">
        <v>45268</v>
      </c>
      <c r="M334" t="s">
        <v>24</v>
      </c>
      <c r="N334" s="4">
        <v>1426448.54</v>
      </c>
      <c r="O334" t="s">
        <v>25</v>
      </c>
      <c r="P334" t="str">
        <f t="shared" si="5"/>
        <v>2023-12</v>
      </c>
    </row>
    <row r="335" spans="1:16" ht="15.75" customHeight="1" x14ac:dyDescent="0.3">
      <c r="A335" t="s">
        <v>756</v>
      </c>
      <c r="B335">
        <v>179518</v>
      </c>
      <c r="C335" t="s">
        <v>757</v>
      </c>
      <c r="D335">
        <v>388268391021</v>
      </c>
      <c r="E335" t="s">
        <v>35</v>
      </c>
      <c r="F335" t="s">
        <v>60</v>
      </c>
      <c r="G335" t="s">
        <v>106</v>
      </c>
      <c r="H335" t="s">
        <v>31</v>
      </c>
      <c r="I335" t="s">
        <v>38</v>
      </c>
      <c r="J335" s="4">
        <v>98228.26</v>
      </c>
      <c r="K335" t="s">
        <v>32</v>
      </c>
      <c r="L335" s="1">
        <v>45705</v>
      </c>
      <c r="M335" t="s">
        <v>24</v>
      </c>
      <c r="N335" s="4">
        <v>5539.5400000000081</v>
      </c>
      <c r="O335" t="s">
        <v>25</v>
      </c>
      <c r="P335" t="str">
        <f t="shared" si="5"/>
        <v>2025-02</v>
      </c>
    </row>
    <row r="336" spans="1:16" ht="15.75" customHeight="1" x14ac:dyDescent="0.3">
      <c r="A336" t="s">
        <v>758</v>
      </c>
      <c r="B336">
        <v>224498</v>
      </c>
      <c r="C336" t="s">
        <v>759</v>
      </c>
      <c r="D336">
        <v>600039500647</v>
      </c>
      <c r="E336" t="s">
        <v>28</v>
      </c>
      <c r="F336" t="s">
        <v>29</v>
      </c>
      <c r="G336" t="s">
        <v>106</v>
      </c>
      <c r="H336" t="s">
        <v>67</v>
      </c>
      <c r="I336" t="s">
        <v>22</v>
      </c>
      <c r="J336" s="4">
        <v>97285.9</v>
      </c>
      <c r="K336" t="s">
        <v>39</v>
      </c>
      <c r="L336" s="1">
        <v>45644</v>
      </c>
      <c r="M336" t="s">
        <v>24</v>
      </c>
      <c r="N336" s="4">
        <v>696392.16999999993</v>
      </c>
      <c r="O336" t="s">
        <v>25</v>
      </c>
      <c r="P336" t="str">
        <f t="shared" si="5"/>
        <v>2024-12</v>
      </c>
    </row>
    <row r="337" spans="1:16" ht="15.75" customHeight="1" x14ac:dyDescent="0.3">
      <c r="A337" t="s">
        <v>760</v>
      </c>
      <c r="B337">
        <v>373993</v>
      </c>
      <c r="C337" t="s">
        <v>761</v>
      </c>
      <c r="D337">
        <v>434312755539</v>
      </c>
      <c r="E337" t="s">
        <v>91</v>
      </c>
      <c r="F337" t="s">
        <v>109</v>
      </c>
      <c r="G337" t="s">
        <v>106</v>
      </c>
      <c r="H337" t="s">
        <v>31</v>
      </c>
      <c r="I337" t="s">
        <v>38</v>
      </c>
      <c r="J337" s="4">
        <v>96128.29</v>
      </c>
      <c r="K337" t="s">
        <v>32</v>
      </c>
      <c r="L337" s="1">
        <v>45686</v>
      </c>
      <c r="M337" t="s">
        <v>24</v>
      </c>
      <c r="N337" s="4">
        <v>89554.579999999987</v>
      </c>
      <c r="O337" t="s">
        <v>25</v>
      </c>
      <c r="P337" t="str">
        <f t="shared" si="5"/>
        <v>2025-01</v>
      </c>
    </row>
    <row r="338" spans="1:16" ht="15.75" customHeight="1" x14ac:dyDescent="0.3">
      <c r="A338" t="s">
        <v>762</v>
      </c>
      <c r="B338">
        <v>445390</v>
      </c>
      <c r="C338" t="s">
        <v>763</v>
      </c>
      <c r="D338">
        <v>834906079344</v>
      </c>
      <c r="E338" t="s">
        <v>64</v>
      </c>
      <c r="F338" t="s">
        <v>177</v>
      </c>
      <c r="G338" t="s">
        <v>106</v>
      </c>
      <c r="H338" t="s">
        <v>21</v>
      </c>
      <c r="I338" t="s">
        <v>22</v>
      </c>
      <c r="J338" s="4">
        <v>95620.89</v>
      </c>
      <c r="K338" t="s">
        <v>98</v>
      </c>
      <c r="L338" s="1">
        <v>45818</v>
      </c>
      <c r="M338" t="s">
        <v>24</v>
      </c>
      <c r="N338" s="4">
        <v>1643914.5</v>
      </c>
      <c r="O338" t="s">
        <v>25</v>
      </c>
      <c r="P338" t="str">
        <f t="shared" si="5"/>
        <v>2025-06</v>
      </c>
    </row>
    <row r="339" spans="1:16" ht="15.75" customHeight="1" x14ac:dyDescent="0.3">
      <c r="A339" t="s">
        <v>764</v>
      </c>
      <c r="B339">
        <v>392598</v>
      </c>
      <c r="C339" t="s">
        <v>765</v>
      </c>
      <c r="D339">
        <v>507228613971</v>
      </c>
      <c r="E339" t="s">
        <v>91</v>
      </c>
      <c r="F339" t="s">
        <v>109</v>
      </c>
      <c r="G339" t="s">
        <v>151</v>
      </c>
      <c r="H339" t="s">
        <v>21</v>
      </c>
      <c r="I339" t="s">
        <v>38</v>
      </c>
      <c r="J339" s="4">
        <v>95419.02</v>
      </c>
      <c r="K339" t="s">
        <v>98</v>
      </c>
      <c r="L339" s="1">
        <v>45679</v>
      </c>
      <c r="M339" t="s">
        <v>24</v>
      </c>
      <c r="N339" s="4">
        <v>1359303.82</v>
      </c>
      <c r="O339" t="s">
        <v>25</v>
      </c>
      <c r="P339" t="str">
        <f t="shared" si="5"/>
        <v>2025-01</v>
      </c>
    </row>
    <row r="340" spans="1:16" ht="15.75" customHeight="1" x14ac:dyDescent="0.3">
      <c r="A340" t="s">
        <v>766</v>
      </c>
      <c r="B340">
        <v>627322</v>
      </c>
      <c r="C340" t="s">
        <v>767</v>
      </c>
      <c r="D340">
        <v>197653048874</v>
      </c>
      <c r="E340" t="s">
        <v>91</v>
      </c>
      <c r="F340" t="s">
        <v>162</v>
      </c>
      <c r="G340" t="s">
        <v>151</v>
      </c>
      <c r="H340" t="s">
        <v>31</v>
      </c>
      <c r="I340" t="s">
        <v>53</v>
      </c>
      <c r="J340" s="4">
        <v>94684.54</v>
      </c>
      <c r="K340" t="s">
        <v>49</v>
      </c>
      <c r="L340" s="1">
        <v>45548</v>
      </c>
      <c r="M340" t="s">
        <v>50</v>
      </c>
      <c r="N340" s="4">
        <v>1996331.03</v>
      </c>
      <c r="O340" t="s">
        <v>25</v>
      </c>
      <c r="P340" t="str">
        <f t="shared" si="5"/>
        <v>2024-09</v>
      </c>
    </row>
    <row r="341" spans="1:16" ht="15.75" customHeight="1" x14ac:dyDescent="0.3">
      <c r="A341" t="s">
        <v>768</v>
      </c>
      <c r="B341">
        <v>674507</v>
      </c>
      <c r="C341" t="s">
        <v>769</v>
      </c>
      <c r="D341">
        <v>365343466726</v>
      </c>
      <c r="E341" t="s">
        <v>35</v>
      </c>
      <c r="F341" t="s">
        <v>73</v>
      </c>
      <c r="G341" t="s">
        <v>151</v>
      </c>
      <c r="H341" t="s">
        <v>70</v>
      </c>
      <c r="I341" t="s">
        <v>48</v>
      </c>
      <c r="J341" s="4">
        <v>94591.93</v>
      </c>
      <c r="K341" t="s">
        <v>23</v>
      </c>
      <c r="L341" s="1">
        <v>45376</v>
      </c>
      <c r="M341" t="s">
        <v>24</v>
      </c>
      <c r="N341" s="4">
        <v>355220.47999999998</v>
      </c>
      <c r="O341" t="s">
        <v>25</v>
      </c>
      <c r="P341" t="str">
        <f t="shared" si="5"/>
        <v>2024-03</v>
      </c>
    </row>
    <row r="342" spans="1:16" ht="15.75" customHeight="1" x14ac:dyDescent="0.3">
      <c r="A342" t="s">
        <v>770</v>
      </c>
      <c r="B342">
        <v>572980</v>
      </c>
      <c r="C342" t="s">
        <v>771</v>
      </c>
      <c r="D342">
        <v>184613706984</v>
      </c>
      <c r="E342" t="s">
        <v>64</v>
      </c>
      <c r="F342" t="s">
        <v>166</v>
      </c>
      <c r="G342" t="s">
        <v>151</v>
      </c>
      <c r="H342" t="s">
        <v>70</v>
      </c>
      <c r="I342" t="s">
        <v>48</v>
      </c>
      <c r="J342" s="4">
        <v>94310.27</v>
      </c>
      <c r="K342" t="s">
        <v>23</v>
      </c>
      <c r="L342" s="1">
        <v>45401</v>
      </c>
      <c r="M342" t="s">
        <v>113</v>
      </c>
      <c r="N342" s="4">
        <v>1631486.44</v>
      </c>
      <c r="O342" t="s">
        <v>25</v>
      </c>
      <c r="P342" t="str">
        <f t="shared" si="5"/>
        <v>2024-04</v>
      </c>
    </row>
    <row r="343" spans="1:16" ht="15.75" customHeight="1" x14ac:dyDescent="0.3">
      <c r="A343" t="s">
        <v>772</v>
      </c>
      <c r="B343">
        <v>364377</v>
      </c>
      <c r="C343" t="s">
        <v>773</v>
      </c>
      <c r="D343">
        <v>669037054253</v>
      </c>
      <c r="E343" t="s">
        <v>28</v>
      </c>
      <c r="F343" t="s">
        <v>79</v>
      </c>
      <c r="G343" t="s">
        <v>151</v>
      </c>
      <c r="H343" t="s">
        <v>67</v>
      </c>
      <c r="I343" t="s">
        <v>38</v>
      </c>
      <c r="J343" s="4">
        <v>94133.21</v>
      </c>
      <c r="K343" t="s">
        <v>49</v>
      </c>
      <c r="L343" s="1">
        <v>45680</v>
      </c>
      <c r="M343" t="s">
        <v>113</v>
      </c>
      <c r="N343" s="4">
        <v>108426.39</v>
      </c>
      <c r="O343" t="s">
        <v>25</v>
      </c>
      <c r="P343" t="str">
        <f t="shared" si="5"/>
        <v>2025-01</v>
      </c>
    </row>
    <row r="344" spans="1:16" ht="15.75" customHeight="1" x14ac:dyDescent="0.3">
      <c r="A344" t="s">
        <v>774</v>
      </c>
      <c r="B344">
        <v>989898</v>
      </c>
      <c r="C344" t="s">
        <v>775</v>
      </c>
      <c r="D344">
        <v>304809259360</v>
      </c>
      <c r="E344" t="s">
        <v>28</v>
      </c>
      <c r="F344" t="s">
        <v>192</v>
      </c>
      <c r="G344" t="s">
        <v>151</v>
      </c>
      <c r="H344" t="s">
        <v>21</v>
      </c>
      <c r="I344" t="s">
        <v>38</v>
      </c>
      <c r="J344" s="4">
        <v>93038.6</v>
      </c>
      <c r="K344" t="s">
        <v>49</v>
      </c>
      <c r="L344" s="1">
        <v>45593</v>
      </c>
      <c r="M344" t="s">
        <v>24</v>
      </c>
      <c r="N344" s="4">
        <v>641168.51</v>
      </c>
      <c r="O344" t="s">
        <v>25</v>
      </c>
      <c r="P344" t="str">
        <f t="shared" si="5"/>
        <v>2024-10</v>
      </c>
    </row>
    <row r="345" spans="1:16" ht="15.75" customHeight="1" x14ac:dyDescent="0.3">
      <c r="A345" t="s">
        <v>776</v>
      </c>
      <c r="B345">
        <v>390792</v>
      </c>
      <c r="C345" t="s">
        <v>777</v>
      </c>
      <c r="D345">
        <v>815931680958</v>
      </c>
      <c r="E345" t="s">
        <v>18</v>
      </c>
      <c r="F345" t="s">
        <v>46</v>
      </c>
      <c r="G345" t="s">
        <v>151</v>
      </c>
      <c r="H345" t="s">
        <v>31</v>
      </c>
      <c r="I345" t="s">
        <v>48</v>
      </c>
      <c r="J345" s="4">
        <v>92892.9</v>
      </c>
      <c r="K345" t="s">
        <v>49</v>
      </c>
      <c r="L345" s="1">
        <v>45679</v>
      </c>
      <c r="M345" t="s">
        <v>24</v>
      </c>
      <c r="N345" s="4">
        <v>1859589.9</v>
      </c>
      <c r="O345" t="s">
        <v>25</v>
      </c>
      <c r="P345" t="str">
        <f t="shared" si="5"/>
        <v>2025-01</v>
      </c>
    </row>
    <row r="346" spans="1:16" ht="15.75" customHeight="1" x14ac:dyDescent="0.3">
      <c r="A346" t="s">
        <v>778</v>
      </c>
      <c r="B346">
        <v>409468</v>
      </c>
      <c r="C346" t="s">
        <v>779</v>
      </c>
      <c r="D346">
        <v>385357726132</v>
      </c>
      <c r="E346" t="s">
        <v>28</v>
      </c>
      <c r="F346" t="s">
        <v>192</v>
      </c>
      <c r="G346" t="s">
        <v>151</v>
      </c>
      <c r="H346" t="s">
        <v>21</v>
      </c>
      <c r="I346" t="s">
        <v>48</v>
      </c>
      <c r="J346" s="4">
        <v>92274.06</v>
      </c>
      <c r="K346" t="s">
        <v>23</v>
      </c>
      <c r="L346" s="1">
        <v>45473</v>
      </c>
      <c r="M346" t="s">
        <v>24</v>
      </c>
      <c r="N346" s="4">
        <v>639598.09000000008</v>
      </c>
      <c r="O346" t="s">
        <v>25</v>
      </c>
      <c r="P346" t="str">
        <f t="shared" si="5"/>
        <v>2024-06</v>
      </c>
    </row>
    <row r="347" spans="1:16" ht="15.75" customHeight="1" x14ac:dyDescent="0.3">
      <c r="A347" t="s">
        <v>780</v>
      </c>
      <c r="B347">
        <v>980642</v>
      </c>
      <c r="C347" t="s">
        <v>781</v>
      </c>
      <c r="D347">
        <v>100768524152</v>
      </c>
      <c r="E347" t="s">
        <v>35</v>
      </c>
      <c r="F347" t="s">
        <v>36</v>
      </c>
      <c r="G347" t="s">
        <v>151</v>
      </c>
      <c r="H347" t="s">
        <v>70</v>
      </c>
      <c r="I347" t="s">
        <v>48</v>
      </c>
      <c r="J347" s="4">
        <v>91230.37</v>
      </c>
      <c r="K347" t="s">
        <v>49</v>
      </c>
      <c r="L347" s="1">
        <v>45156</v>
      </c>
      <c r="M347" t="s">
        <v>24</v>
      </c>
      <c r="N347" s="4">
        <v>1595355.14</v>
      </c>
      <c r="O347" t="s">
        <v>25</v>
      </c>
      <c r="P347" t="str">
        <f t="shared" si="5"/>
        <v>2023-08</v>
      </c>
    </row>
    <row r="348" spans="1:16" ht="15.75" customHeight="1" x14ac:dyDescent="0.3">
      <c r="A348" t="s">
        <v>782</v>
      </c>
      <c r="B348">
        <v>547953</v>
      </c>
      <c r="C348" t="s">
        <v>783</v>
      </c>
      <c r="D348">
        <v>284180983285</v>
      </c>
      <c r="E348" t="s">
        <v>28</v>
      </c>
      <c r="F348" t="s">
        <v>29</v>
      </c>
      <c r="G348" t="s">
        <v>151</v>
      </c>
      <c r="H348" t="s">
        <v>67</v>
      </c>
      <c r="I348" t="s">
        <v>38</v>
      </c>
      <c r="J348" s="4">
        <v>90532.41</v>
      </c>
      <c r="K348" t="s">
        <v>39</v>
      </c>
      <c r="L348" s="1">
        <v>45364</v>
      </c>
      <c r="M348" t="s">
        <v>24</v>
      </c>
      <c r="N348" s="4">
        <v>404938.51</v>
      </c>
      <c r="O348" t="s">
        <v>25</v>
      </c>
      <c r="P348" t="str">
        <f t="shared" si="5"/>
        <v>2024-03</v>
      </c>
    </row>
    <row r="349" spans="1:16" ht="15.75" customHeight="1" x14ac:dyDescent="0.3">
      <c r="A349" t="s">
        <v>784</v>
      </c>
      <c r="B349">
        <v>740305</v>
      </c>
      <c r="C349" t="s">
        <v>785</v>
      </c>
      <c r="D349">
        <v>242642960021</v>
      </c>
      <c r="E349" t="s">
        <v>28</v>
      </c>
      <c r="F349" t="s">
        <v>216</v>
      </c>
      <c r="G349" t="s">
        <v>151</v>
      </c>
      <c r="H349" t="s">
        <v>70</v>
      </c>
      <c r="I349" t="s">
        <v>53</v>
      </c>
      <c r="J349" s="4">
        <v>89540.74</v>
      </c>
      <c r="K349" t="s">
        <v>32</v>
      </c>
      <c r="L349" s="1">
        <v>45149</v>
      </c>
      <c r="M349" t="s">
        <v>113</v>
      </c>
      <c r="N349" s="4">
        <v>1215289.54</v>
      </c>
      <c r="O349" t="s">
        <v>25</v>
      </c>
      <c r="P349" t="str">
        <f t="shared" si="5"/>
        <v>2023-08</v>
      </c>
    </row>
    <row r="350" spans="1:16" ht="15.75" customHeight="1" x14ac:dyDescent="0.3">
      <c r="A350" t="s">
        <v>786</v>
      </c>
      <c r="B350">
        <v>427894</v>
      </c>
      <c r="C350" t="s">
        <v>787</v>
      </c>
      <c r="D350">
        <v>870186363718</v>
      </c>
      <c r="E350" t="s">
        <v>91</v>
      </c>
      <c r="F350" t="s">
        <v>109</v>
      </c>
      <c r="G350" t="s">
        <v>151</v>
      </c>
      <c r="H350" t="s">
        <v>67</v>
      </c>
      <c r="I350" t="s">
        <v>48</v>
      </c>
      <c r="J350" s="4">
        <v>89438.03</v>
      </c>
      <c r="K350" t="s">
        <v>98</v>
      </c>
      <c r="L350" s="1">
        <v>45703</v>
      </c>
      <c r="M350" t="s">
        <v>24</v>
      </c>
      <c r="N350" s="4">
        <v>1958117.95</v>
      </c>
      <c r="O350" t="s">
        <v>25</v>
      </c>
      <c r="P350" t="str">
        <f t="shared" si="5"/>
        <v>2025-02</v>
      </c>
    </row>
    <row r="351" spans="1:16" ht="15.75" customHeight="1" x14ac:dyDescent="0.3">
      <c r="A351" t="s">
        <v>788</v>
      </c>
      <c r="B351">
        <v>586706</v>
      </c>
      <c r="C351" t="s">
        <v>789</v>
      </c>
      <c r="D351">
        <v>386125421772</v>
      </c>
      <c r="E351" t="s">
        <v>64</v>
      </c>
      <c r="F351" t="s">
        <v>166</v>
      </c>
      <c r="G351" t="s">
        <v>151</v>
      </c>
      <c r="H351" t="s">
        <v>31</v>
      </c>
      <c r="I351" t="s">
        <v>48</v>
      </c>
      <c r="J351" s="4">
        <v>88517.73</v>
      </c>
      <c r="K351" t="s">
        <v>49</v>
      </c>
      <c r="L351" s="1">
        <v>45321</v>
      </c>
      <c r="M351" t="s">
        <v>24</v>
      </c>
      <c r="N351" s="4">
        <v>1896528.53</v>
      </c>
      <c r="O351" t="s">
        <v>25</v>
      </c>
      <c r="P351" t="str">
        <f t="shared" si="5"/>
        <v>2024-01</v>
      </c>
    </row>
    <row r="352" spans="1:16" ht="15.75" customHeight="1" x14ac:dyDescent="0.3">
      <c r="A352" t="s">
        <v>790</v>
      </c>
      <c r="B352">
        <v>684987</v>
      </c>
      <c r="C352" t="s">
        <v>791</v>
      </c>
      <c r="D352">
        <v>462363293377</v>
      </c>
      <c r="E352" t="s">
        <v>64</v>
      </c>
      <c r="F352" t="s">
        <v>83</v>
      </c>
      <c r="G352" t="s">
        <v>151</v>
      </c>
      <c r="H352" t="s">
        <v>31</v>
      </c>
      <c r="I352" t="s">
        <v>53</v>
      </c>
      <c r="J352" s="4">
        <v>87369.06</v>
      </c>
      <c r="K352" t="s">
        <v>23</v>
      </c>
      <c r="L352" s="1">
        <v>45265</v>
      </c>
      <c r="M352" t="s">
        <v>24</v>
      </c>
      <c r="N352" s="4">
        <v>1284513.78</v>
      </c>
      <c r="O352" t="s">
        <v>25</v>
      </c>
      <c r="P352" t="str">
        <f t="shared" si="5"/>
        <v>2023-12</v>
      </c>
    </row>
    <row r="353" spans="1:16" ht="15.75" customHeight="1" x14ac:dyDescent="0.3">
      <c r="A353" t="s">
        <v>792</v>
      </c>
      <c r="B353">
        <v>718664</v>
      </c>
      <c r="C353" t="s">
        <v>793</v>
      </c>
      <c r="D353">
        <v>283341172763</v>
      </c>
      <c r="E353" t="s">
        <v>35</v>
      </c>
      <c r="F353" t="s">
        <v>42</v>
      </c>
      <c r="G353" t="s">
        <v>151</v>
      </c>
      <c r="H353" t="s">
        <v>31</v>
      </c>
      <c r="I353" t="s">
        <v>48</v>
      </c>
      <c r="J353" s="4">
        <v>87325.57</v>
      </c>
      <c r="K353" t="s">
        <v>23</v>
      </c>
      <c r="L353" s="1">
        <v>45418</v>
      </c>
      <c r="M353" t="s">
        <v>24</v>
      </c>
      <c r="N353" s="4">
        <v>1081271.3899999999</v>
      </c>
      <c r="O353" t="s">
        <v>25</v>
      </c>
      <c r="P353" t="str">
        <f t="shared" si="5"/>
        <v>2024-05</v>
      </c>
    </row>
    <row r="354" spans="1:16" ht="15.75" customHeight="1" x14ac:dyDescent="0.3">
      <c r="A354" t="s">
        <v>794</v>
      </c>
      <c r="B354">
        <v>361462</v>
      </c>
      <c r="C354" t="s">
        <v>795</v>
      </c>
      <c r="D354">
        <v>605459164624</v>
      </c>
      <c r="E354" t="s">
        <v>64</v>
      </c>
      <c r="F354" t="s">
        <v>166</v>
      </c>
      <c r="G354" t="s">
        <v>151</v>
      </c>
      <c r="H354" t="s">
        <v>21</v>
      </c>
      <c r="I354" t="s">
        <v>38</v>
      </c>
      <c r="J354" s="4">
        <v>87082.25</v>
      </c>
      <c r="K354" t="s">
        <v>32</v>
      </c>
      <c r="L354" s="1">
        <v>45618</v>
      </c>
      <c r="M354" t="s">
        <v>24</v>
      </c>
      <c r="N354" s="4">
        <v>1345738.11</v>
      </c>
      <c r="O354" t="s">
        <v>25</v>
      </c>
      <c r="P354" t="str">
        <f t="shared" si="5"/>
        <v>2024-11</v>
      </c>
    </row>
    <row r="355" spans="1:16" ht="15.75" customHeight="1" x14ac:dyDescent="0.3">
      <c r="A355" t="s">
        <v>796</v>
      </c>
      <c r="B355">
        <v>633665</v>
      </c>
      <c r="C355" t="s">
        <v>797</v>
      </c>
      <c r="D355">
        <v>198565706740</v>
      </c>
      <c r="E355" t="s">
        <v>35</v>
      </c>
      <c r="F355" t="s">
        <v>73</v>
      </c>
      <c r="G355" t="s">
        <v>151</v>
      </c>
      <c r="H355" t="s">
        <v>67</v>
      </c>
      <c r="I355" t="s">
        <v>38</v>
      </c>
      <c r="J355" s="4">
        <v>86872.7</v>
      </c>
      <c r="K355" t="s">
        <v>49</v>
      </c>
      <c r="L355" s="1">
        <v>45443</v>
      </c>
      <c r="M355" t="s">
        <v>24</v>
      </c>
      <c r="N355" s="4">
        <v>821237.76000000001</v>
      </c>
      <c r="O355" t="s">
        <v>25</v>
      </c>
      <c r="P355" t="str">
        <f t="shared" si="5"/>
        <v>2024-05</v>
      </c>
    </row>
    <row r="356" spans="1:16" ht="15.75" customHeight="1" x14ac:dyDescent="0.3">
      <c r="A356" t="s">
        <v>798</v>
      </c>
      <c r="B356">
        <v>894189</v>
      </c>
      <c r="C356" t="s">
        <v>799</v>
      </c>
      <c r="D356">
        <v>261191347516</v>
      </c>
      <c r="E356" t="s">
        <v>91</v>
      </c>
      <c r="F356" t="s">
        <v>109</v>
      </c>
      <c r="G356" t="s">
        <v>151</v>
      </c>
      <c r="H356" t="s">
        <v>21</v>
      </c>
      <c r="I356" t="s">
        <v>22</v>
      </c>
      <c r="J356" s="4">
        <v>86822.48</v>
      </c>
      <c r="K356" t="s">
        <v>49</v>
      </c>
      <c r="L356" s="1">
        <v>45129</v>
      </c>
      <c r="M356" t="s">
        <v>24</v>
      </c>
      <c r="N356" s="4">
        <v>896946.19</v>
      </c>
      <c r="O356" t="s">
        <v>25</v>
      </c>
      <c r="P356" t="str">
        <f t="shared" si="5"/>
        <v>2023-07</v>
      </c>
    </row>
    <row r="357" spans="1:16" ht="15.75" customHeight="1" x14ac:dyDescent="0.3">
      <c r="A357" t="s">
        <v>800</v>
      </c>
      <c r="B357">
        <v>475202</v>
      </c>
      <c r="C357" t="s">
        <v>801</v>
      </c>
      <c r="D357">
        <v>263661783529</v>
      </c>
      <c r="E357" t="s">
        <v>91</v>
      </c>
      <c r="F357" t="s">
        <v>162</v>
      </c>
      <c r="G357" t="s">
        <v>151</v>
      </c>
      <c r="H357" t="s">
        <v>21</v>
      </c>
      <c r="I357" t="s">
        <v>38</v>
      </c>
      <c r="J357" s="4">
        <v>86561.53</v>
      </c>
      <c r="K357" t="s">
        <v>23</v>
      </c>
      <c r="L357" s="1">
        <v>45714</v>
      </c>
      <c r="M357" t="s">
        <v>24</v>
      </c>
      <c r="N357" s="4">
        <v>1132144.31</v>
      </c>
      <c r="O357" t="s">
        <v>25</v>
      </c>
      <c r="P357" t="str">
        <f t="shared" si="5"/>
        <v>2025-02</v>
      </c>
    </row>
    <row r="358" spans="1:16" ht="15.75" customHeight="1" x14ac:dyDescent="0.3">
      <c r="A358" t="s">
        <v>802</v>
      </c>
      <c r="B358">
        <v>853516</v>
      </c>
      <c r="C358" t="s">
        <v>803</v>
      </c>
      <c r="D358">
        <v>909642409332</v>
      </c>
      <c r="E358" t="s">
        <v>35</v>
      </c>
      <c r="F358" t="s">
        <v>42</v>
      </c>
      <c r="G358" t="s">
        <v>84</v>
      </c>
      <c r="H358" t="s">
        <v>31</v>
      </c>
      <c r="I358" t="s">
        <v>48</v>
      </c>
      <c r="J358" s="4">
        <v>86333.22</v>
      </c>
      <c r="K358" t="s">
        <v>39</v>
      </c>
      <c r="L358" s="1">
        <v>45641</v>
      </c>
      <c r="M358" t="s">
        <v>50</v>
      </c>
      <c r="N358" s="4">
        <v>1179384.8799999999</v>
      </c>
      <c r="O358" t="s">
        <v>25</v>
      </c>
      <c r="P358" t="str">
        <f t="shared" si="5"/>
        <v>2024-12</v>
      </c>
    </row>
    <row r="359" spans="1:16" ht="15.75" customHeight="1" x14ac:dyDescent="0.3">
      <c r="A359" t="s">
        <v>804</v>
      </c>
      <c r="B359">
        <v>150512</v>
      </c>
      <c r="C359" t="s">
        <v>805</v>
      </c>
      <c r="D359">
        <v>947252500435</v>
      </c>
      <c r="E359" t="s">
        <v>64</v>
      </c>
      <c r="F359" t="s">
        <v>146</v>
      </c>
      <c r="G359" t="s">
        <v>84</v>
      </c>
      <c r="H359" t="s">
        <v>67</v>
      </c>
      <c r="I359" t="s">
        <v>38</v>
      </c>
      <c r="J359" s="4">
        <v>85345.93</v>
      </c>
      <c r="K359" t="s">
        <v>23</v>
      </c>
      <c r="L359" s="1">
        <v>45649</v>
      </c>
      <c r="M359" t="s">
        <v>24</v>
      </c>
      <c r="N359" s="4">
        <v>1802050.86</v>
      </c>
      <c r="O359" t="s">
        <v>25</v>
      </c>
      <c r="P359" t="str">
        <f t="shared" si="5"/>
        <v>2024-12</v>
      </c>
    </row>
    <row r="360" spans="1:16" ht="15.75" customHeight="1" x14ac:dyDescent="0.3">
      <c r="A360" t="s">
        <v>806</v>
      </c>
      <c r="B360">
        <v>114174</v>
      </c>
      <c r="C360" t="s">
        <v>807</v>
      </c>
      <c r="D360">
        <v>503389519825</v>
      </c>
      <c r="E360" t="s">
        <v>64</v>
      </c>
      <c r="F360" t="s">
        <v>146</v>
      </c>
      <c r="G360" t="s">
        <v>84</v>
      </c>
      <c r="H360" t="s">
        <v>31</v>
      </c>
      <c r="I360" t="s">
        <v>22</v>
      </c>
      <c r="J360" s="4">
        <v>84312.88</v>
      </c>
      <c r="K360" t="s">
        <v>49</v>
      </c>
      <c r="L360" s="1">
        <v>45124</v>
      </c>
      <c r="M360" t="s">
        <v>24</v>
      </c>
      <c r="N360" s="4">
        <v>1521144.43</v>
      </c>
      <c r="O360" t="s">
        <v>25</v>
      </c>
      <c r="P360" t="str">
        <f t="shared" si="5"/>
        <v>2023-07</v>
      </c>
    </row>
    <row r="361" spans="1:16" ht="15.75" customHeight="1" x14ac:dyDescent="0.3">
      <c r="A361" t="s">
        <v>808</v>
      </c>
      <c r="B361">
        <v>815415</v>
      </c>
      <c r="C361" t="s">
        <v>809</v>
      </c>
      <c r="D361">
        <v>707425693401</v>
      </c>
      <c r="E361" t="s">
        <v>28</v>
      </c>
      <c r="F361" t="s">
        <v>150</v>
      </c>
      <c r="G361" t="s">
        <v>84</v>
      </c>
      <c r="H361" t="s">
        <v>21</v>
      </c>
      <c r="I361" t="s">
        <v>48</v>
      </c>
      <c r="J361" s="4">
        <v>84085.59</v>
      </c>
      <c r="K361" t="s">
        <v>49</v>
      </c>
      <c r="L361" s="1">
        <v>45805</v>
      </c>
      <c r="M361" t="s">
        <v>24</v>
      </c>
      <c r="N361" s="4">
        <v>772198.29</v>
      </c>
      <c r="O361" t="s">
        <v>25</v>
      </c>
      <c r="P361" t="str">
        <f t="shared" si="5"/>
        <v>2025-05</v>
      </c>
    </row>
    <row r="362" spans="1:16" ht="15.75" customHeight="1" x14ac:dyDescent="0.3">
      <c r="A362" t="s">
        <v>810</v>
      </c>
      <c r="B362">
        <v>332907</v>
      </c>
      <c r="C362" t="s">
        <v>811</v>
      </c>
      <c r="D362">
        <v>775725282488</v>
      </c>
      <c r="E362" t="s">
        <v>18</v>
      </c>
      <c r="F362" t="s">
        <v>46</v>
      </c>
      <c r="G362" t="s">
        <v>84</v>
      </c>
      <c r="H362" t="s">
        <v>70</v>
      </c>
      <c r="I362" t="s">
        <v>53</v>
      </c>
      <c r="J362" s="4">
        <v>83160.84</v>
      </c>
      <c r="K362" t="s">
        <v>32</v>
      </c>
      <c r="L362" s="1">
        <v>45450</v>
      </c>
      <c r="M362" t="s">
        <v>24</v>
      </c>
      <c r="N362" s="4">
        <v>943250.81</v>
      </c>
      <c r="O362" t="s">
        <v>179</v>
      </c>
      <c r="P362" t="str">
        <f t="shared" si="5"/>
        <v>2024-06</v>
      </c>
    </row>
    <row r="363" spans="1:16" ht="15.75" customHeight="1" x14ac:dyDescent="0.3">
      <c r="A363" t="s">
        <v>812</v>
      </c>
      <c r="B363">
        <v>888086</v>
      </c>
      <c r="C363" t="s">
        <v>813</v>
      </c>
      <c r="D363">
        <v>396619643095</v>
      </c>
      <c r="E363" t="s">
        <v>18</v>
      </c>
      <c r="F363" t="s">
        <v>19</v>
      </c>
      <c r="G363" t="s">
        <v>84</v>
      </c>
      <c r="H363" t="s">
        <v>21</v>
      </c>
      <c r="I363" t="s">
        <v>38</v>
      </c>
      <c r="J363" s="4">
        <v>82951.97</v>
      </c>
      <c r="K363" t="s">
        <v>23</v>
      </c>
      <c r="L363" s="1">
        <v>45727</v>
      </c>
      <c r="M363" t="s">
        <v>24</v>
      </c>
      <c r="N363" s="4">
        <v>1430531.1</v>
      </c>
      <c r="O363" t="s">
        <v>25</v>
      </c>
      <c r="P363" t="str">
        <f t="shared" si="5"/>
        <v>2025-03</v>
      </c>
    </row>
    <row r="364" spans="1:16" ht="15.75" customHeight="1" x14ac:dyDescent="0.3">
      <c r="A364" t="s">
        <v>814</v>
      </c>
      <c r="B364">
        <v>344715</v>
      </c>
      <c r="C364" t="s">
        <v>815</v>
      </c>
      <c r="D364">
        <v>662042689096</v>
      </c>
      <c r="E364" t="s">
        <v>91</v>
      </c>
      <c r="F364" t="s">
        <v>162</v>
      </c>
      <c r="G364" t="s">
        <v>84</v>
      </c>
      <c r="H364" t="s">
        <v>70</v>
      </c>
      <c r="I364" t="s">
        <v>22</v>
      </c>
      <c r="J364" s="4">
        <v>82653.77</v>
      </c>
      <c r="K364" t="s">
        <v>39</v>
      </c>
      <c r="L364" s="1">
        <v>45524</v>
      </c>
      <c r="M364" t="s">
        <v>24</v>
      </c>
      <c r="N364" s="4">
        <v>1214932.99</v>
      </c>
      <c r="O364" t="s">
        <v>25</v>
      </c>
      <c r="P364" t="str">
        <f t="shared" si="5"/>
        <v>2024-08</v>
      </c>
    </row>
    <row r="365" spans="1:16" ht="15.75" customHeight="1" x14ac:dyDescent="0.3">
      <c r="A365" t="s">
        <v>816</v>
      </c>
      <c r="B365">
        <v>475616</v>
      </c>
      <c r="C365" t="s">
        <v>817</v>
      </c>
      <c r="D365">
        <v>174971552064</v>
      </c>
      <c r="E365" t="s">
        <v>64</v>
      </c>
      <c r="F365" t="s">
        <v>177</v>
      </c>
      <c r="G365" t="s">
        <v>84</v>
      </c>
      <c r="H365" t="s">
        <v>21</v>
      </c>
      <c r="I365" t="s">
        <v>48</v>
      </c>
      <c r="J365" s="4">
        <v>82302.03</v>
      </c>
      <c r="K365" t="s">
        <v>49</v>
      </c>
      <c r="L365" s="1">
        <v>45804</v>
      </c>
      <c r="M365" t="s">
        <v>24</v>
      </c>
      <c r="N365" s="4">
        <v>341311.75</v>
      </c>
      <c r="O365" t="s">
        <v>25</v>
      </c>
      <c r="P365" t="str">
        <f t="shared" si="5"/>
        <v>2025-05</v>
      </c>
    </row>
    <row r="366" spans="1:16" ht="15.75" customHeight="1" x14ac:dyDescent="0.3">
      <c r="A366" t="s">
        <v>818</v>
      </c>
      <c r="B366">
        <v>219887</v>
      </c>
      <c r="C366" t="s">
        <v>819</v>
      </c>
      <c r="D366">
        <v>718917028742</v>
      </c>
      <c r="E366" t="s">
        <v>91</v>
      </c>
      <c r="F366" t="s">
        <v>105</v>
      </c>
      <c r="G366" t="s">
        <v>84</v>
      </c>
      <c r="H366" t="s">
        <v>31</v>
      </c>
      <c r="I366" t="s">
        <v>48</v>
      </c>
      <c r="J366" s="4">
        <v>81438.09</v>
      </c>
      <c r="K366" t="s">
        <v>49</v>
      </c>
      <c r="L366" s="1">
        <v>45835</v>
      </c>
      <c r="M366" t="s">
        <v>50</v>
      </c>
      <c r="N366" s="4">
        <v>343750.94</v>
      </c>
      <c r="O366" t="s">
        <v>25</v>
      </c>
      <c r="P366" t="str">
        <f t="shared" si="5"/>
        <v>2025-06</v>
      </c>
    </row>
    <row r="367" spans="1:16" ht="15.75" customHeight="1" x14ac:dyDescent="0.3">
      <c r="A367" t="s">
        <v>820</v>
      </c>
      <c r="B367">
        <v>374263</v>
      </c>
      <c r="C367" t="s">
        <v>821</v>
      </c>
      <c r="D367">
        <v>676729996656</v>
      </c>
      <c r="E367" t="s">
        <v>91</v>
      </c>
      <c r="F367" t="s">
        <v>92</v>
      </c>
      <c r="G367" t="s">
        <v>84</v>
      </c>
      <c r="H367" t="s">
        <v>31</v>
      </c>
      <c r="I367" t="s">
        <v>53</v>
      </c>
      <c r="J367" s="4">
        <v>80691.649999999994</v>
      </c>
      <c r="K367" t="s">
        <v>23</v>
      </c>
      <c r="L367" s="1">
        <v>45342</v>
      </c>
      <c r="M367" t="s">
        <v>24</v>
      </c>
      <c r="N367" s="4">
        <v>1594009.73</v>
      </c>
      <c r="O367" t="s">
        <v>25</v>
      </c>
      <c r="P367" t="str">
        <f t="shared" si="5"/>
        <v>2024-02</v>
      </c>
    </row>
    <row r="368" spans="1:16" ht="15.75" customHeight="1" x14ac:dyDescent="0.3">
      <c r="A368" t="s">
        <v>822</v>
      </c>
      <c r="B368">
        <v>223924</v>
      </c>
      <c r="C368" t="s">
        <v>823</v>
      </c>
      <c r="D368">
        <v>667714778462</v>
      </c>
      <c r="E368" t="s">
        <v>35</v>
      </c>
      <c r="F368" t="s">
        <v>36</v>
      </c>
      <c r="G368" t="s">
        <v>84</v>
      </c>
      <c r="H368" t="s">
        <v>67</v>
      </c>
      <c r="I368" t="s">
        <v>53</v>
      </c>
      <c r="J368" s="4">
        <v>79976.37</v>
      </c>
      <c r="K368" t="s">
        <v>23</v>
      </c>
      <c r="L368" s="1">
        <v>45119</v>
      </c>
      <c r="M368" t="s">
        <v>24</v>
      </c>
      <c r="N368" s="4">
        <v>770321.19000000006</v>
      </c>
      <c r="O368" t="s">
        <v>25</v>
      </c>
      <c r="P368" t="str">
        <f t="shared" si="5"/>
        <v>2023-07</v>
      </c>
    </row>
    <row r="369" spans="1:16" ht="15.75" customHeight="1" x14ac:dyDescent="0.3">
      <c r="A369" t="s">
        <v>824</v>
      </c>
      <c r="B369">
        <v>539350</v>
      </c>
      <c r="C369" t="s">
        <v>825</v>
      </c>
      <c r="D369">
        <v>733606955563</v>
      </c>
      <c r="E369" t="s">
        <v>28</v>
      </c>
      <c r="F369" t="s">
        <v>192</v>
      </c>
      <c r="G369" t="s">
        <v>84</v>
      </c>
      <c r="H369" t="s">
        <v>31</v>
      </c>
      <c r="I369" t="s">
        <v>53</v>
      </c>
      <c r="J369" s="4">
        <v>79661.36</v>
      </c>
      <c r="K369" t="s">
        <v>49</v>
      </c>
      <c r="L369" s="1">
        <v>45819</v>
      </c>
      <c r="M369" t="s">
        <v>24</v>
      </c>
      <c r="N369" s="4">
        <v>1028818.01</v>
      </c>
      <c r="O369" t="s">
        <v>25</v>
      </c>
      <c r="P369" t="str">
        <f t="shared" si="5"/>
        <v>2025-06</v>
      </c>
    </row>
    <row r="370" spans="1:16" ht="15.75" customHeight="1" x14ac:dyDescent="0.3">
      <c r="A370" t="s">
        <v>826</v>
      </c>
      <c r="B370">
        <v>405648</v>
      </c>
      <c r="C370" t="s">
        <v>827</v>
      </c>
      <c r="D370">
        <v>360522614619</v>
      </c>
      <c r="E370" t="s">
        <v>18</v>
      </c>
      <c r="F370" t="s">
        <v>87</v>
      </c>
      <c r="G370" t="s">
        <v>84</v>
      </c>
      <c r="H370" t="s">
        <v>31</v>
      </c>
      <c r="I370" t="s">
        <v>38</v>
      </c>
      <c r="J370" s="4">
        <v>79519.039999999994</v>
      </c>
      <c r="K370" t="s">
        <v>39</v>
      </c>
      <c r="L370" s="1">
        <v>45312</v>
      </c>
      <c r="M370" t="s">
        <v>24</v>
      </c>
      <c r="N370" s="4">
        <v>370202.29</v>
      </c>
      <c r="O370" t="s">
        <v>25</v>
      </c>
      <c r="P370" t="str">
        <f t="shared" si="5"/>
        <v>2024-01</v>
      </c>
    </row>
    <row r="371" spans="1:16" ht="15.75" customHeight="1" x14ac:dyDescent="0.3">
      <c r="A371" t="s">
        <v>828</v>
      </c>
      <c r="B371">
        <v>479949</v>
      </c>
      <c r="C371" t="s">
        <v>829</v>
      </c>
      <c r="D371">
        <v>175860036084</v>
      </c>
      <c r="E371" t="s">
        <v>28</v>
      </c>
      <c r="F371" t="s">
        <v>192</v>
      </c>
      <c r="G371" t="s">
        <v>84</v>
      </c>
      <c r="H371" t="s">
        <v>67</v>
      </c>
      <c r="I371" t="s">
        <v>38</v>
      </c>
      <c r="J371" s="4">
        <v>79178.86</v>
      </c>
      <c r="K371" t="s">
        <v>32</v>
      </c>
      <c r="L371" s="1">
        <v>45519</v>
      </c>
      <c r="M371" t="s">
        <v>24</v>
      </c>
      <c r="N371" s="4">
        <v>1226681.8400000001</v>
      </c>
      <c r="O371" t="s">
        <v>25</v>
      </c>
      <c r="P371" t="str">
        <f t="shared" si="5"/>
        <v>2024-08</v>
      </c>
    </row>
    <row r="372" spans="1:16" ht="15.75" customHeight="1" x14ac:dyDescent="0.3">
      <c r="A372" t="s">
        <v>830</v>
      </c>
      <c r="B372">
        <v>387939</v>
      </c>
      <c r="C372" t="s">
        <v>831</v>
      </c>
      <c r="D372">
        <v>260103738581</v>
      </c>
      <c r="E372" t="s">
        <v>28</v>
      </c>
      <c r="F372" t="s">
        <v>79</v>
      </c>
      <c r="G372" t="s">
        <v>84</v>
      </c>
      <c r="H372" t="s">
        <v>21</v>
      </c>
      <c r="I372" t="s">
        <v>38</v>
      </c>
      <c r="J372" s="4">
        <v>78611.759999999995</v>
      </c>
      <c r="K372" t="s">
        <v>98</v>
      </c>
      <c r="L372" s="1">
        <v>45804</v>
      </c>
      <c r="M372" t="s">
        <v>168</v>
      </c>
      <c r="N372" s="4">
        <v>932608.28</v>
      </c>
      <c r="O372" t="s">
        <v>25</v>
      </c>
      <c r="P372" t="str">
        <f t="shared" si="5"/>
        <v>2025-05</v>
      </c>
    </row>
    <row r="373" spans="1:16" ht="15.75" customHeight="1" x14ac:dyDescent="0.3">
      <c r="A373" t="s">
        <v>832</v>
      </c>
      <c r="B373">
        <v>529371</v>
      </c>
      <c r="C373" t="s">
        <v>833</v>
      </c>
      <c r="D373">
        <v>696398414197</v>
      </c>
      <c r="E373" t="s">
        <v>35</v>
      </c>
      <c r="F373" t="s">
        <v>36</v>
      </c>
      <c r="G373" t="s">
        <v>84</v>
      </c>
      <c r="H373" t="s">
        <v>21</v>
      </c>
      <c r="I373" t="s">
        <v>38</v>
      </c>
      <c r="J373" s="4">
        <v>78597.94</v>
      </c>
      <c r="K373" t="s">
        <v>39</v>
      </c>
      <c r="L373" s="1">
        <v>45176</v>
      </c>
      <c r="M373" t="s">
        <v>24</v>
      </c>
      <c r="N373" s="4">
        <v>1563610.66</v>
      </c>
      <c r="O373" t="s">
        <v>25</v>
      </c>
      <c r="P373" t="str">
        <f t="shared" si="5"/>
        <v>2023-09</v>
      </c>
    </row>
    <row r="374" spans="1:16" ht="15.75" customHeight="1" x14ac:dyDescent="0.3">
      <c r="A374" t="s">
        <v>834</v>
      </c>
      <c r="B374">
        <v>990194</v>
      </c>
      <c r="C374" t="s">
        <v>835</v>
      </c>
      <c r="D374">
        <v>493757512103</v>
      </c>
      <c r="E374" t="s">
        <v>35</v>
      </c>
      <c r="F374" t="s">
        <v>60</v>
      </c>
      <c r="G374" t="s">
        <v>84</v>
      </c>
      <c r="H374" t="s">
        <v>70</v>
      </c>
      <c r="I374" t="s">
        <v>38</v>
      </c>
      <c r="J374" s="4">
        <v>78464.289999999994</v>
      </c>
      <c r="K374" t="s">
        <v>23</v>
      </c>
      <c r="L374" s="1">
        <v>45181</v>
      </c>
      <c r="M374" t="s">
        <v>24</v>
      </c>
      <c r="N374" s="4">
        <v>1697109.27</v>
      </c>
      <c r="O374" t="s">
        <v>25</v>
      </c>
      <c r="P374" t="str">
        <f t="shared" si="5"/>
        <v>2023-09</v>
      </c>
    </row>
    <row r="375" spans="1:16" ht="15.75" customHeight="1" x14ac:dyDescent="0.3">
      <c r="A375" t="s">
        <v>836</v>
      </c>
      <c r="B375">
        <v>970064</v>
      </c>
      <c r="C375" t="s">
        <v>837</v>
      </c>
      <c r="D375">
        <v>653060642611</v>
      </c>
      <c r="E375" t="s">
        <v>35</v>
      </c>
      <c r="F375" t="s">
        <v>36</v>
      </c>
      <c r="G375" t="s">
        <v>84</v>
      </c>
      <c r="H375" t="s">
        <v>70</v>
      </c>
      <c r="I375" t="s">
        <v>53</v>
      </c>
      <c r="J375" s="4">
        <v>78134.240000000005</v>
      </c>
      <c r="K375" t="s">
        <v>98</v>
      </c>
      <c r="L375" s="1">
        <v>45380</v>
      </c>
      <c r="M375" t="s">
        <v>113</v>
      </c>
      <c r="N375" s="4">
        <v>1211040.1100000001</v>
      </c>
      <c r="O375" t="s">
        <v>179</v>
      </c>
      <c r="P375" t="str">
        <f t="shared" si="5"/>
        <v>2024-03</v>
      </c>
    </row>
    <row r="376" spans="1:16" ht="15.75" customHeight="1" x14ac:dyDescent="0.3">
      <c r="A376" t="s">
        <v>838</v>
      </c>
      <c r="B376">
        <v>466409</v>
      </c>
      <c r="C376" t="s">
        <v>839</v>
      </c>
      <c r="D376">
        <v>881453879458</v>
      </c>
      <c r="E376" t="s">
        <v>91</v>
      </c>
      <c r="F376" t="s">
        <v>92</v>
      </c>
      <c r="G376" t="s">
        <v>84</v>
      </c>
      <c r="H376" t="s">
        <v>70</v>
      </c>
      <c r="I376" t="s">
        <v>22</v>
      </c>
      <c r="J376" s="4">
        <v>78021.990000000005</v>
      </c>
      <c r="K376" t="s">
        <v>39</v>
      </c>
      <c r="L376" s="1">
        <v>45726</v>
      </c>
      <c r="M376" t="s">
        <v>24</v>
      </c>
      <c r="N376" s="4">
        <v>523219.45</v>
      </c>
      <c r="O376" t="s">
        <v>25</v>
      </c>
      <c r="P376" t="str">
        <f t="shared" si="5"/>
        <v>2025-03</v>
      </c>
    </row>
    <row r="377" spans="1:16" ht="15.75" customHeight="1" x14ac:dyDescent="0.3">
      <c r="A377" t="s">
        <v>840</v>
      </c>
      <c r="B377">
        <v>691233</v>
      </c>
      <c r="C377" t="s">
        <v>841</v>
      </c>
      <c r="D377">
        <v>591674302857</v>
      </c>
      <c r="E377" t="s">
        <v>64</v>
      </c>
      <c r="F377" t="s">
        <v>177</v>
      </c>
      <c r="G377" t="s">
        <v>84</v>
      </c>
      <c r="H377" t="s">
        <v>31</v>
      </c>
      <c r="I377" t="s">
        <v>22</v>
      </c>
      <c r="J377" s="4">
        <v>77594.36</v>
      </c>
      <c r="K377" t="s">
        <v>49</v>
      </c>
      <c r="L377" s="1">
        <v>45665</v>
      </c>
      <c r="M377" t="s">
        <v>24</v>
      </c>
      <c r="N377" s="4">
        <v>559077.69999999995</v>
      </c>
      <c r="O377" t="s">
        <v>25</v>
      </c>
      <c r="P377" t="str">
        <f t="shared" si="5"/>
        <v>2025-01</v>
      </c>
    </row>
    <row r="378" spans="1:16" ht="15.75" customHeight="1" x14ac:dyDescent="0.3">
      <c r="A378" t="s">
        <v>842</v>
      </c>
      <c r="B378">
        <v>923020</v>
      </c>
      <c r="C378" t="s">
        <v>843</v>
      </c>
      <c r="D378">
        <v>989318539943</v>
      </c>
      <c r="E378" t="s">
        <v>28</v>
      </c>
      <c r="F378" t="s">
        <v>216</v>
      </c>
      <c r="G378" t="s">
        <v>84</v>
      </c>
      <c r="H378" t="s">
        <v>70</v>
      </c>
      <c r="I378" t="s">
        <v>53</v>
      </c>
      <c r="J378" s="4">
        <v>75762.73</v>
      </c>
      <c r="K378" t="s">
        <v>23</v>
      </c>
      <c r="L378" s="1">
        <v>45612</v>
      </c>
      <c r="M378" t="s">
        <v>50</v>
      </c>
      <c r="N378" s="4">
        <v>1563217.64</v>
      </c>
      <c r="O378" t="s">
        <v>25</v>
      </c>
      <c r="P378" t="str">
        <f t="shared" si="5"/>
        <v>2024-11</v>
      </c>
    </row>
    <row r="379" spans="1:16" ht="15.75" customHeight="1" x14ac:dyDescent="0.3">
      <c r="A379" t="s">
        <v>844</v>
      </c>
      <c r="B379">
        <v>690626</v>
      </c>
      <c r="C379" t="s">
        <v>845</v>
      </c>
      <c r="D379">
        <v>223709347082</v>
      </c>
      <c r="E379" t="s">
        <v>64</v>
      </c>
      <c r="F379" t="s">
        <v>65</v>
      </c>
      <c r="G379" t="s">
        <v>84</v>
      </c>
      <c r="H379" t="s">
        <v>67</v>
      </c>
      <c r="I379" t="s">
        <v>48</v>
      </c>
      <c r="J379" s="4">
        <v>75640.210000000006</v>
      </c>
      <c r="K379" t="s">
        <v>49</v>
      </c>
      <c r="L379" s="1">
        <v>45241</v>
      </c>
      <c r="M379" t="s">
        <v>24</v>
      </c>
      <c r="N379" s="4">
        <v>1196217.07</v>
      </c>
      <c r="O379" t="s">
        <v>25</v>
      </c>
      <c r="P379" t="str">
        <f t="shared" si="5"/>
        <v>2023-11</v>
      </c>
    </row>
    <row r="380" spans="1:16" ht="15.75" customHeight="1" x14ac:dyDescent="0.3">
      <c r="A380" t="s">
        <v>846</v>
      </c>
      <c r="B380">
        <v>459550</v>
      </c>
      <c r="C380" t="s">
        <v>847</v>
      </c>
      <c r="D380">
        <v>798399336730</v>
      </c>
      <c r="E380" t="s">
        <v>35</v>
      </c>
      <c r="F380" t="s">
        <v>60</v>
      </c>
      <c r="G380" t="s">
        <v>84</v>
      </c>
      <c r="H380" t="s">
        <v>31</v>
      </c>
      <c r="I380" t="s">
        <v>53</v>
      </c>
      <c r="J380" s="4">
        <v>75538.210000000006</v>
      </c>
      <c r="K380" t="s">
        <v>49</v>
      </c>
      <c r="L380" s="1">
        <v>45294</v>
      </c>
      <c r="M380" t="s">
        <v>24</v>
      </c>
      <c r="N380" s="4">
        <v>2009292.64</v>
      </c>
      <c r="O380" t="s">
        <v>25</v>
      </c>
      <c r="P380" t="str">
        <f t="shared" si="5"/>
        <v>2024-01</v>
      </c>
    </row>
    <row r="381" spans="1:16" ht="15.75" customHeight="1" x14ac:dyDescent="0.3">
      <c r="A381" t="s">
        <v>848</v>
      </c>
      <c r="B381">
        <v>954780</v>
      </c>
      <c r="C381" t="s">
        <v>849</v>
      </c>
      <c r="D381">
        <v>791330814917</v>
      </c>
      <c r="E381" t="s">
        <v>18</v>
      </c>
      <c r="F381" t="s">
        <v>156</v>
      </c>
      <c r="G381" t="s">
        <v>137</v>
      </c>
      <c r="H381" t="s">
        <v>31</v>
      </c>
      <c r="I381" t="s">
        <v>48</v>
      </c>
      <c r="J381" s="4">
        <v>75168.06</v>
      </c>
      <c r="K381" t="s">
        <v>23</v>
      </c>
      <c r="L381" s="1">
        <v>45787</v>
      </c>
      <c r="M381" t="s">
        <v>24</v>
      </c>
      <c r="N381" s="4">
        <v>1137529.71</v>
      </c>
      <c r="O381" t="s">
        <v>25</v>
      </c>
      <c r="P381" t="str">
        <f t="shared" si="5"/>
        <v>2025-05</v>
      </c>
    </row>
    <row r="382" spans="1:16" ht="15.75" customHeight="1" x14ac:dyDescent="0.3">
      <c r="A382" t="s">
        <v>850</v>
      </c>
      <c r="B382">
        <v>171459</v>
      </c>
      <c r="C382" t="s">
        <v>851</v>
      </c>
      <c r="D382">
        <v>135190882700</v>
      </c>
      <c r="E382" t="s">
        <v>18</v>
      </c>
      <c r="F382" t="s">
        <v>19</v>
      </c>
      <c r="G382" t="s">
        <v>137</v>
      </c>
      <c r="H382" t="s">
        <v>21</v>
      </c>
      <c r="I382" t="s">
        <v>48</v>
      </c>
      <c r="J382" s="4">
        <v>72811.91</v>
      </c>
      <c r="K382" t="s">
        <v>49</v>
      </c>
      <c r="L382" s="1">
        <v>45237</v>
      </c>
      <c r="M382" t="s">
        <v>24</v>
      </c>
      <c r="N382" s="4">
        <v>564240.30999999994</v>
      </c>
      <c r="O382" t="s">
        <v>25</v>
      </c>
      <c r="P382" t="str">
        <f t="shared" si="5"/>
        <v>2023-11</v>
      </c>
    </row>
    <row r="383" spans="1:16" ht="15.75" customHeight="1" x14ac:dyDescent="0.3">
      <c r="A383" t="s">
        <v>852</v>
      </c>
      <c r="B383">
        <v>568881</v>
      </c>
      <c r="C383" t="s">
        <v>853</v>
      </c>
      <c r="D383">
        <v>470200000951</v>
      </c>
      <c r="E383" t="s">
        <v>18</v>
      </c>
      <c r="F383" t="s">
        <v>19</v>
      </c>
      <c r="G383" t="s">
        <v>137</v>
      </c>
      <c r="H383" t="s">
        <v>21</v>
      </c>
      <c r="I383" t="s">
        <v>38</v>
      </c>
      <c r="J383" s="4">
        <v>72775.399999999994</v>
      </c>
      <c r="K383" t="s">
        <v>32</v>
      </c>
      <c r="L383" s="1">
        <v>45449</v>
      </c>
      <c r="M383" t="s">
        <v>24</v>
      </c>
      <c r="N383" s="4">
        <v>1654884.72</v>
      </c>
      <c r="O383" t="s">
        <v>25</v>
      </c>
      <c r="P383" t="str">
        <f t="shared" si="5"/>
        <v>2024-06</v>
      </c>
    </row>
    <row r="384" spans="1:16" ht="15.75" customHeight="1" x14ac:dyDescent="0.3">
      <c r="A384" t="s">
        <v>854</v>
      </c>
      <c r="B384">
        <v>179714</v>
      </c>
      <c r="C384" t="s">
        <v>855</v>
      </c>
      <c r="D384">
        <v>501001062311</v>
      </c>
      <c r="E384" t="s">
        <v>35</v>
      </c>
      <c r="F384" t="s">
        <v>42</v>
      </c>
      <c r="G384" t="s">
        <v>137</v>
      </c>
      <c r="H384" t="s">
        <v>31</v>
      </c>
      <c r="I384" t="s">
        <v>38</v>
      </c>
      <c r="J384" s="4">
        <v>72231.47</v>
      </c>
      <c r="K384" t="s">
        <v>49</v>
      </c>
      <c r="L384" s="1">
        <v>45697</v>
      </c>
      <c r="M384" t="s">
        <v>24</v>
      </c>
      <c r="N384" s="4">
        <v>812688.42</v>
      </c>
      <c r="O384" t="s">
        <v>25</v>
      </c>
      <c r="P384" t="str">
        <f t="shared" si="5"/>
        <v>2025-02</v>
      </c>
    </row>
    <row r="385" spans="1:16" ht="15.75" customHeight="1" x14ac:dyDescent="0.3">
      <c r="A385" t="s">
        <v>856</v>
      </c>
      <c r="B385">
        <v>507234</v>
      </c>
      <c r="C385" t="s">
        <v>857</v>
      </c>
      <c r="D385">
        <v>878851872657</v>
      </c>
      <c r="E385" t="s">
        <v>91</v>
      </c>
      <c r="F385" t="s">
        <v>109</v>
      </c>
      <c r="G385" t="s">
        <v>137</v>
      </c>
      <c r="H385" t="s">
        <v>67</v>
      </c>
      <c r="I385" t="s">
        <v>22</v>
      </c>
      <c r="J385" s="4">
        <v>70696.570000000007</v>
      </c>
      <c r="K385" t="s">
        <v>49</v>
      </c>
      <c r="L385" s="1">
        <v>45168</v>
      </c>
      <c r="M385" t="s">
        <v>24</v>
      </c>
      <c r="N385" s="4">
        <v>957657.80999999994</v>
      </c>
      <c r="O385" t="s">
        <v>25</v>
      </c>
      <c r="P385" t="str">
        <f t="shared" si="5"/>
        <v>2023-08</v>
      </c>
    </row>
    <row r="386" spans="1:16" ht="15.75" customHeight="1" x14ac:dyDescent="0.3">
      <c r="A386" t="s">
        <v>858</v>
      </c>
      <c r="B386">
        <v>943899</v>
      </c>
      <c r="C386" t="s">
        <v>859</v>
      </c>
      <c r="D386">
        <v>474125754877</v>
      </c>
      <c r="E386" t="s">
        <v>91</v>
      </c>
      <c r="F386" t="s">
        <v>105</v>
      </c>
      <c r="G386" t="s">
        <v>137</v>
      </c>
      <c r="H386" t="s">
        <v>31</v>
      </c>
      <c r="I386" t="s">
        <v>22</v>
      </c>
      <c r="J386" s="4">
        <v>70607.77</v>
      </c>
      <c r="K386" t="s">
        <v>98</v>
      </c>
      <c r="L386" s="1">
        <v>45415</v>
      </c>
      <c r="M386" t="s">
        <v>24</v>
      </c>
      <c r="N386" s="4">
        <v>2031243.6</v>
      </c>
      <c r="O386" t="s">
        <v>25</v>
      </c>
      <c r="P386" t="str">
        <f t="shared" si="5"/>
        <v>2024-05</v>
      </c>
    </row>
    <row r="387" spans="1:16" ht="15.75" customHeight="1" x14ac:dyDescent="0.3">
      <c r="A387" t="s">
        <v>860</v>
      </c>
      <c r="B387">
        <v>722523</v>
      </c>
      <c r="C387" t="s">
        <v>861</v>
      </c>
      <c r="D387">
        <v>498653114225</v>
      </c>
      <c r="E387" t="s">
        <v>18</v>
      </c>
      <c r="F387" t="s">
        <v>87</v>
      </c>
      <c r="G387" t="s">
        <v>137</v>
      </c>
      <c r="H387" t="s">
        <v>31</v>
      </c>
      <c r="I387" t="s">
        <v>22</v>
      </c>
      <c r="J387" s="4">
        <v>70527.759999999995</v>
      </c>
      <c r="K387" t="s">
        <v>49</v>
      </c>
      <c r="L387" s="1">
        <v>45616</v>
      </c>
      <c r="M387" t="s">
        <v>24</v>
      </c>
      <c r="N387" s="4">
        <v>455920.87</v>
      </c>
      <c r="O387" t="s">
        <v>25</v>
      </c>
      <c r="P387" t="str">
        <f t="shared" ref="P387:P450" si="6">TEXT(L387,"yyyy-mm")</f>
        <v>2024-11</v>
      </c>
    </row>
    <row r="388" spans="1:16" ht="15.75" customHeight="1" x14ac:dyDescent="0.3">
      <c r="A388" t="s">
        <v>862</v>
      </c>
      <c r="B388">
        <v>427315</v>
      </c>
      <c r="C388" t="s">
        <v>863</v>
      </c>
      <c r="D388">
        <v>638707911830</v>
      </c>
      <c r="E388" t="s">
        <v>18</v>
      </c>
      <c r="F388" t="s">
        <v>46</v>
      </c>
      <c r="G388" t="s">
        <v>137</v>
      </c>
      <c r="H388" t="s">
        <v>21</v>
      </c>
      <c r="I388" t="s">
        <v>53</v>
      </c>
      <c r="J388" s="4">
        <v>70209.02</v>
      </c>
      <c r="K388" t="s">
        <v>98</v>
      </c>
      <c r="L388" s="1">
        <v>45690</v>
      </c>
      <c r="M388" t="s">
        <v>24</v>
      </c>
      <c r="N388" s="4">
        <v>1597588.23</v>
      </c>
      <c r="O388" t="s">
        <v>25</v>
      </c>
      <c r="P388" t="str">
        <f t="shared" si="6"/>
        <v>2025-02</v>
      </c>
    </row>
    <row r="389" spans="1:16" ht="15.75" customHeight="1" x14ac:dyDescent="0.3">
      <c r="A389" t="s">
        <v>864</v>
      </c>
      <c r="B389">
        <v>528399</v>
      </c>
      <c r="C389" t="s">
        <v>865</v>
      </c>
      <c r="D389">
        <v>255848490692</v>
      </c>
      <c r="E389" t="s">
        <v>64</v>
      </c>
      <c r="F389" t="s">
        <v>83</v>
      </c>
      <c r="G389" t="s">
        <v>137</v>
      </c>
      <c r="H389" t="s">
        <v>70</v>
      </c>
      <c r="I389" t="s">
        <v>38</v>
      </c>
      <c r="J389" s="4">
        <v>69841.899999999994</v>
      </c>
      <c r="K389" t="s">
        <v>98</v>
      </c>
      <c r="L389" s="1">
        <v>45632</v>
      </c>
      <c r="M389" t="s">
        <v>24</v>
      </c>
      <c r="N389" s="4">
        <v>1385627.33</v>
      </c>
      <c r="O389" t="s">
        <v>25</v>
      </c>
      <c r="P389" t="str">
        <f t="shared" si="6"/>
        <v>2024-12</v>
      </c>
    </row>
    <row r="390" spans="1:16" ht="15.75" customHeight="1" x14ac:dyDescent="0.3">
      <c r="A390" t="s">
        <v>866</v>
      </c>
      <c r="B390">
        <v>464910</v>
      </c>
      <c r="C390" t="s">
        <v>867</v>
      </c>
      <c r="D390">
        <v>539041777767</v>
      </c>
      <c r="E390" t="s">
        <v>35</v>
      </c>
      <c r="F390" t="s">
        <v>36</v>
      </c>
      <c r="G390" t="s">
        <v>137</v>
      </c>
      <c r="H390" t="s">
        <v>31</v>
      </c>
      <c r="I390" t="s">
        <v>48</v>
      </c>
      <c r="J390" s="4">
        <v>69366.789999999994</v>
      </c>
      <c r="K390" t="s">
        <v>32</v>
      </c>
      <c r="L390" s="1">
        <v>45548</v>
      </c>
      <c r="M390" t="s">
        <v>113</v>
      </c>
      <c r="N390" s="4">
        <v>563593.56000000006</v>
      </c>
      <c r="O390" t="s">
        <v>25</v>
      </c>
      <c r="P390" t="str">
        <f t="shared" si="6"/>
        <v>2024-09</v>
      </c>
    </row>
    <row r="391" spans="1:16" ht="15.75" customHeight="1" x14ac:dyDescent="0.3">
      <c r="A391" t="s">
        <v>868</v>
      </c>
      <c r="B391">
        <v>524813</v>
      </c>
      <c r="C391" t="s">
        <v>869</v>
      </c>
      <c r="D391">
        <v>845243604313</v>
      </c>
      <c r="E391" t="s">
        <v>91</v>
      </c>
      <c r="F391" t="s">
        <v>162</v>
      </c>
      <c r="G391" t="s">
        <v>137</v>
      </c>
      <c r="H391" t="s">
        <v>70</v>
      </c>
      <c r="I391" t="s">
        <v>22</v>
      </c>
      <c r="J391" s="4">
        <v>68829.84</v>
      </c>
      <c r="K391" t="s">
        <v>32</v>
      </c>
      <c r="L391" s="1">
        <v>45172</v>
      </c>
      <c r="M391" t="s">
        <v>24</v>
      </c>
      <c r="N391" s="4">
        <v>1065625.76</v>
      </c>
      <c r="O391" t="s">
        <v>25</v>
      </c>
      <c r="P391" t="str">
        <f t="shared" si="6"/>
        <v>2023-09</v>
      </c>
    </row>
    <row r="392" spans="1:16" ht="15.75" customHeight="1" x14ac:dyDescent="0.3">
      <c r="A392" t="s">
        <v>870</v>
      </c>
      <c r="B392">
        <v>530475</v>
      </c>
      <c r="C392" t="s">
        <v>871</v>
      </c>
      <c r="D392">
        <v>810813549197</v>
      </c>
      <c r="E392" t="s">
        <v>28</v>
      </c>
      <c r="F392" t="s">
        <v>216</v>
      </c>
      <c r="G392" t="s">
        <v>137</v>
      </c>
      <c r="H392" t="s">
        <v>31</v>
      </c>
      <c r="I392" t="s">
        <v>22</v>
      </c>
      <c r="J392" s="4">
        <v>67907.710000000006</v>
      </c>
      <c r="K392" t="s">
        <v>49</v>
      </c>
      <c r="L392" s="1">
        <v>45215</v>
      </c>
      <c r="M392" t="s">
        <v>24</v>
      </c>
      <c r="N392" s="4">
        <v>254646.03</v>
      </c>
      <c r="O392" t="s">
        <v>25</v>
      </c>
      <c r="P392" t="str">
        <f t="shared" si="6"/>
        <v>2023-10</v>
      </c>
    </row>
    <row r="393" spans="1:16" ht="15.75" customHeight="1" x14ac:dyDescent="0.3">
      <c r="A393" t="s">
        <v>872</v>
      </c>
      <c r="B393">
        <v>842079</v>
      </c>
      <c r="C393" t="s">
        <v>873</v>
      </c>
      <c r="D393">
        <v>185744473826</v>
      </c>
      <c r="E393" t="s">
        <v>91</v>
      </c>
      <c r="F393" t="s">
        <v>92</v>
      </c>
      <c r="G393" t="s">
        <v>74</v>
      </c>
      <c r="H393" t="s">
        <v>67</v>
      </c>
      <c r="I393" t="s">
        <v>53</v>
      </c>
      <c r="J393" s="4">
        <v>67585.070000000007</v>
      </c>
      <c r="K393" t="s">
        <v>98</v>
      </c>
      <c r="L393" s="1">
        <v>45576</v>
      </c>
      <c r="M393" t="s">
        <v>24</v>
      </c>
      <c r="N393" s="4">
        <v>913093.72</v>
      </c>
      <c r="O393" t="s">
        <v>25</v>
      </c>
      <c r="P393" t="str">
        <f t="shared" si="6"/>
        <v>2024-10</v>
      </c>
    </row>
    <row r="394" spans="1:16" ht="15.75" customHeight="1" x14ac:dyDescent="0.3">
      <c r="A394" t="s">
        <v>874</v>
      </c>
      <c r="B394">
        <v>316483</v>
      </c>
      <c r="C394" t="s">
        <v>875</v>
      </c>
      <c r="D394">
        <v>370264472621</v>
      </c>
      <c r="E394" t="s">
        <v>64</v>
      </c>
      <c r="F394" t="s">
        <v>177</v>
      </c>
      <c r="G394" t="s">
        <v>74</v>
      </c>
      <c r="H394" t="s">
        <v>21</v>
      </c>
      <c r="I394" t="s">
        <v>53</v>
      </c>
      <c r="J394" s="4">
        <v>66704.02</v>
      </c>
      <c r="K394" t="s">
        <v>49</v>
      </c>
      <c r="L394" s="1">
        <v>45768</v>
      </c>
      <c r="M394" t="s">
        <v>24</v>
      </c>
      <c r="N394" s="4">
        <v>192599.89</v>
      </c>
      <c r="O394" t="s">
        <v>25</v>
      </c>
      <c r="P394" t="str">
        <f t="shared" si="6"/>
        <v>2025-04</v>
      </c>
    </row>
    <row r="395" spans="1:16" ht="15.75" customHeight="1" x14ac:dyDescent="0.3">
      <c r="A395" t="s">
        <v>876</v>
      </c>
      <c r="B395">
        <v>167811</v>
      </c>
      <c r="C395" t="s">
        <v>877</v>
      </c>
      <c r="D395">
        <v>268731699044</v>
      </c>
      <c r="E395" t="s">
        <v>91</v>
      </c>
      <c r="F395" t="s">
        <v>130</v>
      </c>
      <c r="G395" t="s">
        <v>74</v>
      </c>
      <c r="H395" t="s">
        <v>67</v>
      </c>
      <c r="I395" t="s">
        <v>53</v>
      </c>
      <c r="J395" s="4">
        <v>66658.89</v>
      </c>
      <c r="K395" t="s">
        <v>23</v>
      </c>
      <c r="L395" s="1">
        <v>45199</v>
      </c>
      <c r="M395" t="s">
        <v>24</v>
      </c>
      <c r="N395" s="4">
        <v>972098.69</v>
      </c>
      <c r="O395" t="s">
        <v>25</v>
      </c>
      <c r="P395" t="str">
        <f t="shared" si="6"/>
        <v>2023-09</v>
      </c>
    </row>
    <row r="396" spans="1:16" ht="15.75" customHeight="1" x14ac:dyDescent="0.3">
      <c r="A396" t="s">
        <v>878</v>
      </c>
      <c r="B396">
        <v>734296</v>
      </c>
      <c r="C396" t="s">
        <v>879</v>
      </c>
      <c r="D396">
        <v>929691446167</v>
      </c>
      <c r="E396" t="s">
        <v>18</v>
      </c>
      <c r="F396" t="s">
        <v>19</v>
      </c>
      <c r="G396" t="s">
        <v>74</v>
      </c>
      <c r="H396" t="s">
        <v>67</v>
      </c>
      <c r="I396" t="s">
        <v>53</v>
      </c>
      <c r="J396" s="4">
        <v>65204.76</v>
      </c>
      <c r="K396" t="s">
        <v>49</v>
      </c>
      <c r="L396" s="1">
        <v>45400</v>
      </c>
      <c r="M396" t="s">
        <v>24</v>
      </c>
      <c r="N396" s="4">
        <v>562280.92000000004</v>
      </c>
      <c r="O396" t="s">
        <v>25</v>
      </c>
      <c r="P396" t="str">
        <f t="shared" si="6"/>
        <v>2024-04</v>
      </c>
    </row>
    <row r="397" spans="1:16" ht="15.75" customHeight="1" x14ac:dyDescent="0.3">
      <c r="A397" t="s">
        <v>880</v>
      </c>
      <c r="B397">
        <v>807933</v>
      </c>
      <c r="C397" t="s">
        <v>881</v>
      </c>
      <c r="D397">
        <v>137391799979</v>
      </c>
      <c r="E397" t="s">
        <v>35</v>
      </c>
      <c r="F397" t="s">
        <v>73</v>
      </c>
      <c r="G397" t="s">
        <v>74</v>
      </c>
      <c r="H397" t="s">
        <v>21</v>
      </c>
      <c r="I397" t="s">
        <v>48</v>
      </c>
      <c r="J397" s="4">
        <v>63923.91</v>
      </c>
      <c r="K397" t="s">
        <v>49</v>
      </c>
      <c r="L397" s="1">
        <v>45665</v>
      </c>
      <c r="M397" t="s">
        <v>24</v>
      </c>
      <c r="N397" s="4">
        <v>827374.07999999996</v>
      </c>
      <c r="O397" t="s">
        <v>25</v>
      </c>
      <c r="P397" t="str">
        <f t="shared" si="6"/>
        <v>2025-01</v>
      </c>
    </row>
    <row r="398" spans="1:16" ht="15.75" customHeight="1" x14ac:dyDescent="0.3">
      <c r="A398" t="s">
        <v>882</v>
      </c>
      <c r="B398">
        <v>595797</v>
      </c>
      <c r="C398" t="s">
        <v>883</v>
      </c>
      <c r="D398">
        <v>206574366417</v>
      </c>
      <c r="E398" t="s">
        <v>64</v>
      </c>
      <c r="F398" t="s">
        <v>166</v>
      </c>
      <c r="G398" t="s">
        <v>74</v>
      </c>
      <c r="H398" t="s">
        <v>31</v>
      </c>
      <c r="I398" t="s">
        <v>38</v>
      </c>
      <c r="J398" s="4">
        <v>62046.95</v>
      </c>
      <c r="K398" t="s">
        <v>32</v>
      </c>
      <c r="L398" s="1">
        <v>45681</v>
      </c>
      <c r="M398" t="s">
        <v>24</v>
      </c>
      <c r="N398" s="4">
        <v>1330535.8400000001</v>
      </c>
      <c r="O398" t="s">
        <v>25</v>
      </c>
      <c r="P398" t="str">
        <f t="shared" si="6"/>
        <v>2025-01</v>
      </c>
    </row>
    <row r="399" spans="1:16" ht="15.75" customHeight="1" x14ac:dyDescent="0.3">
      <c r="A399" t="s">
        <v>884</v>
      </c>
      <c r="B399">
        <v>638327</v>
      </c>
      <c r="C399" t="s">
        <v>885</v>
      </c>
      <c r="D399">
        <v>886848235656</v>
      </c>
      <c r="E399" t="s">
        <v>64</v>
      </c>
      <c r="F399" t="s">
        <v>146</v>
      </c>
      <c r="G399" t="s">
        <v>74</v>
      </c>
      <c r="H399" t="s">
        <v>21</v>
      </c>
      <c r="I399" t="s">
        <v>48</v>
      </c>
      <c r="J399" s="4">
        <v>60785.43</v>
      </c>
      <c r="K399" t="s">
        <v>49</v>
      </c>
      <c r="L399" s="1">
        <v>45347</v>
      </c>
      <c r="M399" t="s">
        <v>24</v>
      </c>
      <c r="N399" s="4">
        <v>557423.14</v>
      </c>
      <c r="O399" t="s">
        <v>25</v>
      </c>
      <c r="P399" t="str">
        <f t="shared" si="6"/>
        <v>2024-02</v>
      </c>
    </row>
    <row r="400" spans="1:16" ht="15.75" customHeight="1" x14ac:dyDescent="0.3">
      <c r="A400" t="s">
        <v>886</v>
      </c>
      <c r="B400">
        <v>154017</v>
      </c>
      <c r="C400" t="s">
        <v>887</v>
      </c>
      <c r="D400">
        <v>399275894137</v>
      </c>
      <c r="E400" t="s">
        <v>64</v>
      </c>
      <c r="F400" t="s">
        <v>146</v>
      </c>
      <c r="G400" t="s">
        <v>74</v>
      </c>
      <c r="H400" t="s">
        <v>31</v>
      </c>
      <c r="I400" t="s">
        <v>48</v>
      </c>
      <c r="J400" s="4">
        <v>59673.87</v>
      </c>
      <c r="K400" t="s">
        <v>98</v>
      </c>
      <c r="L400" s="1">
        <v>45279</v>
      </c>
      <c r="M400" t="s">
        <v>24</v>
      </c>
      <c r="N400" s="4">
        <v>1490511.61</v>
      </c>
      <c r="O400" t="s">
        <v>25</v>
      </c>
      <c r="P400" t="str">
        <f t="shared" si="6"/>
        <v>2023-12</v>
      </c>
    </row>
    <row r="401" spans="1:16" ht="15.75" customHeight="1" x14ac:dyDescent="0.3">
      <c r="A401" t="s">
        <v>888</v>
      </c>
      <c r="B401">
        <v>764808</v>
      </c>
      <c r="C401" t="s">
        <v>889</v>
      </c>
      <c r="D401">
        <v>790847728908</v>
      </c>
      <c r="E401" t="s">
        <v>91</v>
      </c>
      <c r="F401" t="s">
        <v>105</v>
      </c>
      <c r="G401" t="s">
        <v>74</v>
      </c>
      <c r="H401" t="s">
        <v>21</v>
      </c>
      <c r="I401" t="s">
        <v>48</v>
      </c>
      <c r="J401" s="4">
        <v>59283.4</v>
      </c>
      <c r="K401" t="s">
        <v>49</v>
      </c>
      <c r="L401" s="1">
        <v>45685</v>
      </c>
      <c r="M401" t="s">
        <v>24</v>
      </c>
      <c r="N401" s="4">
        <v>2094313.48</v>
      </c>
      <c r="O401" t="s">
        <v>25</v>
      </c>
      <c r="P401" t="str">
        <f t="shared" si="6"/>
        <v>2025-01</v>
      </c>
    </row>
    <row r="402" spans="1:16" ht="15.75" customHeight="1" x14ac:dyDescent="0.3">
      <c r="A402" t="s">
        <v>890</v>
      </c>
      <c r="B402">
        <v>423000</v>
      </c>
      <c r="C402" t="s">
        <v>891</v>
      </c>
      <c r="D402">
        <v>920735094027</v>
      </c>
      <c r="E402" t="s">
        <v>64</v>
      </c>
      <c r="F402" t="s">
        <v>177</v>
      </c>
      <c r="G402" t="s">
        <v>74</v>
      </c>
      <c r="H402" t="s">
        <v>21</v>
      </c>
      <c r="I402" t="s">
        <v>48</v>
      </c>
      <c r="J402" s="4">
        <v>58414.13</v>
      </c>
      <c r="K402" t="s">
        <v>39</v>
      </c>
      <c r="L402" s="1">
        <v>45573</v>
      </c>
      <c r="M402" t="s">
        <v>24</v>
      </c>
      <c r="N402" s="4">
        <v>1178451.6100000001</v>
      </c>
      <c r="O402" t="s">
        <v>25</v>
      </c>
      <c r="P402" t="str">
        <f t="shared" si="6"/>
        <v>2024-10</v>
      </c>
    </row>
    <row r="403" spans="1:16" ht="15.75" customHeight="1" x14ac:dyDescent="0.3">
      <c r="A403" t="s">
        <v>892</v>
      </c>
      <c r="B403">
        <v>130377</v>
      </c>
      <c r="C403" t="s">
        <v>893</v>
      </c>
      <c r="D403">
        <v>985849548224</v>
      </c>
      <c r="E403" t="s">
        <v>35</v>
      </c>
      <c r="F403" t="s">
        <v>73</v>
      </c>
      <c r="G403" t="s">
        <v>74</v>
      </c>
      <c r="H403" t="s">
        <v>67</v>
      </c>
      <c r="I403" t="s">
        <v>48</v>
      </c>
      <c r="J403" s="4">
        <v>58285.919999999998</v>
      </c>
      <c r="K403" t="s">
        <v>32</v>
      </c>
      <c r="L403" s="1">
        <v>45541</v>
      </c>
      <c r="M403" t="s">
        <v>24</v>
      </c>
      <c r="N403" s="4">
        <v>379125.15</v>
      </c>
      <c r="O403" t="s">
        <v>25</v>
      </c>
      <c r="P403" t="str">
        <f t="shared" si="6"/>
        <v>2024-09</v>
      </c>
    </row>
    <row r="404" spans="1:16" ht="15.75" customHeight="1" x14ac:dyDescent="0.3">
      <c r="A404" t="s">
        <v>894</v>
      </c>
      <c r="B404">
        <v>460288</v>
      </c>
      <c r="C404" t="s">
        <v>895</v>
      </c>
      <c r="D404">
        <v>843965511244</v>
      </c>
      <c r="E404" t="s">
        <v>91</v>
      </c>
      <c r="F404" t="s">
        <v>162</v>
      </c>
      <c r="G404" t="s">
        <v>74</v>
      </c>
      <c r="H404" t="s">
        <v>21</v>
      </c>
      <c r="I404" t="s">
        <v>22</v>
      </c>
      <c r="J404" s="4">
        <v>56566.32</v>
      </c>
      <c r="K404" t="s">
        <v>32</v>
      </c>
      <c r="L404" s="1">
        <v>45303</v>
      </c>
      <c r="M404" t="s">
        <v>24</v>
      </c>
      <c r="N404" s="4">
        <v>1566981.75</v>
      </c>
      <c r="O404" t="s">
        <v>25</v>
      </c>
      <c r="P404" t="str">
        <f t="shared" si="6"/>
        <v>2024-01</v>
      </c>
    </row>
    <row r="405" spans="1:16" ht="15.75" customHeight="1" x14ac:dyDescent="0.3">
      <c r="A405" t="s">
        <v>896</v>
      </c>
      <c r="B405">
        <v>965955</v>
      </c>
      <c r="C405" t="s">
        <v>897</v>
      </c>
      <c r="D405">
        <v>737028625937</v>
      </c>
      <c r="E405" t="s">
        <v>91</v>
      </c>
      <c r="F405" t="s">
        <v>109</v>
      </c>
      <c r="G405" t="s">
        <v>74</v>
      </c>
      <c r="H405" t="s">
        <v>21</v>
      </c>
      <c r="I405" t="s">
        <v>48</v>
      </c>
      <c r="J405" s="4">
        <v>56240.77</v>
      </c>
      <c r="K405" t="s">
        <v>32</v>
      </c>
      <c r="L405" s="1">
        <v>45428</v>
      </c>
      <c r="M405" t="s">
        <v>113</v>
      </c>
      <c r="N405" s="4">
        <v>1689624.8</v>
      </c>
      <c r="O405" t="s">
        <v>25</v>
      </c>
      <c r="P405" t="str">
        <f t="shared" si="6"/>
        <v>2024-05</v>
      </c>
    </row>
    <row r="406" spans="1:16" ht="15.75" customHeight="1" x14ac:dyDescent="0.3">
      <c r="A406" t="s">
        <v>898</v>
      </c>
      <c r="B406">
        <v>118796</v>
      </c>
      <c r="C406" t="s">
        <v>899</v>
      </c>
      <c r="D406">
        <v>680174339647</v>
      </c>
      <c r="E406" t="s">
        <v>91</v>
      </c>
      <c r="F406" t="s">
        <v>109</v>
      </c>
      <c r="G406" t="s">
        <v>74</v>
      </c>
      <c r="H406" t="s">
        <v>31</v>
      </c>
      <c r="I406" t="s">
        <v>38</v>
      </c>
      <c r="J406" s="4">
        <v>56093.16</v>
      </c>
      <c r="K406" t="s">
        <v>23</v>
      </c>
      <c r="L406" s="1">
        <v>45440</v>
      </c>
      <c r="M406" t="s">
        <v>24</v>
      </c>
      <c r="N406" s="4">
        <v>1799671.19</v>
      </c>
      <c r="O406" t="s">
        <v>25</v>
      </c>
      <c r="P406" t="str">
        <f t="shared" si="6"/>
        <v>2024-05</v>
      </c>
    </row>
    <row r="407" spans="1:16" ht="15.75" customHeight="1" x14ac:dyDescent="0.3">
      <c r="A407" t="s">
        <v>900</v>
      </c>
      <c r="B407">
        <v>812461</v>
      </c>
      <c r="C407" t="s">
        <v>901</v>
      </c>
      <c r="D407">
        <v>913958837565</v>
      </c>
      <c r="E407" t="s">
        <v>28</v>
      </c>
      <c r="F407" t="s">
        <v>216</v>
      </c>
      <c r="G407" t="s">
        <v>74</v>
      </c>
      <c r="H407" t="s">
        <v>67</v>
      </c>
      <c r="I407" t="s">
        <v>38</v>
      </c>
      <c r="J407" s="4">
        <v>55705.38</v>
      </c>
      <c r="K407" t="s">
        <v>49</v>
      </c>
      <c r="L407" s="1">
        <v>45354</v>
      </c>
      <c r="M407" t="s">
        <v>24</v>
      </c>
      <c r="N407" s="4">
        <v>1505998.48</v>
      </c>
      <c r="O407" t="s">
        <v>25</v>
      </c>
      <c r="P407" t="str">
        <f t="shared" si="6"/>
        <v>2024-03</v>
      </c>
    </row>
    <row r="408" spans="1:16" ht="15.75" customHeight="1" x14ac:dyDescent="0.3">
      <c r="A408" t="s">
        <v>902</v>
      </c>
      <c r="B408">
        <v>655225</v>
      </c>
      <c r="C408" t="s">
        <v>903</v>
      </c>
      <c r="D408">
        <v>653731524065</v>
      </c>
      <c r="E408" t="s">
        <v>28</v>
      </c>
      <c r="F408" t="s">
        <v>192</v>
      </c>
      <c r="G408" t="s">
        <v>74</v>
      </c>
      <c r="H408" t="s">
        <v>70</v>
      </c>
      <c r="I408" t="s">
        <v>22</v>
      </c>
      <c r="J408" s="4">
        <v>55162.87</v>
      </c>
      <c r="K408" t="s">
        <v>32</v>
      </c>
      <c r="L408" s="1">
        <v>45821</v>
      </c>
      <c r="M408" t="s">
        <v>24</v>
      </c>
      <c r="N408" s="4">
        <v>2102641.09</v>
      </c>
      <c r="O408" t="s">
        <v>25</v>
      </c>
      <c r="P408" t="str">
        <f t="shared" si="6"/>
        <v>2025-06</v>
      </c>
    </row>
    <row r="409" spans="1:16" ht="15.75" customHeight="1" x14ac:dyDescent="0.3">
      <c r="A409" t="s">
        <v>904</v>
      </c>
      <c r="B409">
        <v>761846</v>
      </c>
      <c r="C409" t="s">
        <v>905</v>
      </c>
      <c r="D409">
        <v>847891210164</v>
      </c>
      <c r="E409" t="s">
        <v>28</v>
      </c>
      <c r="F409" t="s">
        <v>79</v>
      </c>
      <c r="G409" t="s">
        <v>74</v>
      </c>
      <c r="H409" t="s">
        <v>67</v>
      </c>
      <c r="I409" t="s">
        <v>53</v>
      </c>
      <c r="J409" s="4">
        <v>55038.21</v>
      </c>
      <c r="K409" t="s">
        <v>98</v>
      </c>
      <c r="L409" s="1">
        <v>45366</v>
      </c>
      <c r="M409" t="s">
        <v>24</v>
      </c>
      <c r="N409" s="4">
        <v>1410079.97</v>
      </c>
      <c r="O409" t="s">
        <v>179</v>
      </c>
      <c r="P409" t="str">
        <f t="shared" si="6"/>
        <v>2024-03</v>
      </c>
    </row>
    <row r="410" spans="1:16" ht="15.75" customHeight="1" x14ac:dyDescent="0.3">
      <c r="A410" t="s">
        <v>906</v>
      </c>
      <c r="B410">
        <v>603602</v>
      </c>
      <c r="C410" t="s">
        <v>907</v>
      </c>
      <c r="D410">
        <v>214912003953</v>
      </c>
      <c r="E410" t="s">
        <v>28</v>
      </c>
      <c r="F410" t="s">
        <v>192</v>
      </c>
      <c r="G410" t="s">
        <v>74</v>
      </c>
      <c r="H410" t="s">
        <v>67</v>
      </c>
      <c r="I410" t="s">
        <v>48</v>
      </c>
      <c r="J410" s="4">
        <v>54099.78</v>
      </c>
      <c r="K410" t="s">
        <v>32</v>
      </c>
      <c r="L410" s="1">
        <v>45264</v>
      </c>
      <c r="M410" t="s">
        <v>24</v>
      </c>
      <c r="N410" s="4">
        <v>846851.16</v>
      </c>
      <c r="O410" t="s">
        <v>25</v>
      </c>
      <c r="P410" t="str">
        <f t="shared" si="6"/>
        <v>2023-12</v>
      </c>
    </row>
    <row r="411" spans="1:16" ht="15.75" customHeight="1" x14ac:dyDescent="0.3">
      <c r="A411" t="s">
        <v>908</v>
      </c>
      <c r="B411">
        <v>771785</v>
      </c>
      <c r="C411" t="s">
        <v>909</v>
      </c>
      <c r="D411">
        <v>160325421103</v>
      </c>
      <c r="E411" t="s">
        <v>28</v>
      </c>
      <c r="F411" t="s">
        <v>29</v>
      </c>
      <c r="G411" t="s">
        <v>74</v>
      </c>
      <c r="H411" t="s">
        <v>21</v>
      </c>
      <c r="I411" t="s">
        <v>53</v>
      </c>
      <c r="J411" s="4">
        <v>53920.36</v>
      </c>
      <c r="K411" t="s">
        <v>23</v>
      </c>
      <c r="L411" s="1">
        <v>45459</v>
      </c>
      <c r="M411" t="s">
        <v>24</v>
      </c>
      <c r="N411" s="4">
        <v>338089.14</v>
      </c>
      <c r="O411" t="s">
        <v>25</v>
      </c>
      <c r="P411" t="str">
        <f t="shared" si="6"/>
        <v>2024-06</v>
      </c>
    </row>
    <row r="412" spans="1:16" ht="15.75" customHeight="1" x14ac:dyDescent="0.3">
      <c r="A412" t="s">
        <v>910</v>
      </c>
      <c r="B412">
        <v>690698</v>
      </c>
      <c r="C412" t="s">
        <v>911</v>
      </c>
      <c r="D412">
        <v>602975157401</v>
      </c>
      <c r="E412" t="s">
        <v>28</v>
      </c>
      <c r="F412" t="s">
        <v>29</v>
      </c>
      <c r="G412" t="s">
        <v>74</v>
      </c>
      <c r="H412" t="s">
        <v>31</v>
      </c>
      <c r="I412" t="s">
        <v>22</v>
      </c>
      <c r="J412" s="4">
        <v>53733.54</v>
      </c>
      <c r="K412" t="s">
        <v>32</v>
      </c>
      <c r="L412" s="1">
        <v>45738</v>
      </c>
      <c r="M412" t="s">
        <v>24</v>
      </c>
      <c r="N412" s="4">
        <v>1261486.8600000001</v>
      </c>
      <c r="O412" t="s">
        <v>25</v>
      </c>
      <c r="P412" t="str">
        <f t="shared" si="6"/>
        <v>2025-03</v>
      </c>
    </row>
    <row r="413" spans="1:16" ht="15.75" customHeight="1" x14ac:dyDescent="0.3">
      <c r="A413" t="s">
        <v>912</v>
      </c>
      <c r="B413">
        <v>509024</v>
      </c>
      <c r="C413" t="s">
        <v>913</v>
      </c>
      <c r="D413">
        <v>942224459011</v>
      </c>
      <c r="E413" t="s">
        <v>28</v>
      </c>
      <c r="F413" t="s">
        <v>216</v>
      </c>
      <c r="G413" t="s">
        <v>74</v>
      </c>
      <c r="H413" t="s">
        <v>31</v>
      </c>
      <c r="I413" t="s">
        <v>22</v>
      </c>
      <c r="J413" s="4">
        <v>51950.12</v>
      </c>
      <c r="K413" t="s">
        <v>98</v>
      </c>
      <c r="L413" s="1">
        <v>45365</v>
      </c>
      <c r="M413" t="s">
        <v>24</v>
      </c>
      <c r="N413" s="4">
        <v>2008641.96</v>
      </c>
      <c r="O413" t="s">
        <v>25</v>
      </c>
      <c r="P413" t="str">
        <f t="shared" si="6"/>
        <v>2024-03</v>
      </c>
    </row>
    <row r="414" spans="1:16" ht="15.75" customHeight="1" x14ac:dyDescent="0.3">
      <c r="A414" t="s">
        <v>914</v>
      </c>
      <c r="B414">
        <v>659674</v>
      </c>
      <c r="C414" t="s">
        <v>915</v>
      </c>
      <c r="D414">
        <v>834218669029</v>
      </c>
      <c r="E414" t="s">
        <v>64</v>
      </c>
      <c r="F414" t="s">
        <v>83</v>
      </c>
      <c r="G414" t="s">
        <v>74</v>
      </c>
      <c r="H414" t="s">
        <v>67</v>
      </c>
      <c r="I414" t="s">
        <v>22</v>
      </c>
      <c r="J414" s="4">
        <v>51847.92</v>
      </c>
      <c r="K414" t="s">
        <v>49</v>
      </c>
      <c r="L414" s="1">
        <v>45806</v>
      </c>
      <c r="M414" t="s">
        <v>24</v>
      </c>
      <c r="N414" s="4">
        <v>1298379.1299999999</v>
      </c>
      <c r="O414" t="s">
        <v>25</v>
      </c>
      <c r="P414" t="str">
        <f t="shared" si="6"/>
        <v>2025-05</v>
      </c>
    </row>
    <row r="415" spans="1:16" ht="15.75" customHeight="1" x14ac:dyDescent="0.3">
      <c r="A415" t="s">
        <v>916</v>
      </c>
      <c r="B415">
        <v>147203</v>
      </c>
      <c r="C415" t="s">
        <v>917</v>
      </c>
      <c r="D415">
        <v>554908105827</v>
      </c>
      <c r="E415" t="s">
        <v>28</v>
      </c>
      <c r="F415" t="s">
        <v>192</v>
      </c>
      <c r="G415" t="s">
        <v>80</v>
      </c>
      <c r="H415" t="s">
        <v>70</v>
      </c>
      <c r="I415" t="s">
        <v>53</v>
      </c>
      <c r="J415" s="4">
        <v>51703.81</v>
      </c>
      <c r="K415" t="s">
        <v>23</v>
      </c>
      <c r="L415" s="1">
        <v>45401</v>
      </c>
      <c r="M415" t="s">
        <v>24</v>
      </c>
      <c r="N415" s="4">
        <v>2006752.03</v>
      </c>
      <c r="O415" t="s">
        <v>25</v>
      </c>
      <c r="P415" t="str">
        <f t="shared" si="6"/>
        <v>2024-04</v>
      </c>
    </row>
    <row r="416" spans="1:16" ht="15.75" customHeight="1" x14ac:dyDescent="0.3">
      <c r="A416" t="s">
        <v>918</v>
      </c>
      <c r="B416">
        <v>780768</v>
      </c>
      <c r="C416" t="s">
        <v>919</v>
      </c>
      <c r="D416">
        <v>815919059377</v>
      </c>
      <c r="E416" t="s">
        <v>91</v>
      </c>
      <c r="F416" t="s">
        <v>109</v>
      </c>
      <c r="G416" t="s">
        <v>80</v>
      </c>
      <c r="H416" t="s">
        <v>21</v>
      </c>
      <c r="I416" t="s">
        <v>53</v>
      </c>
      <c r="J416" s="4">
        <v>50422.44</v>
      </c>
      <c r="K416" t="s">
        <v>32</v>
      </c>
      <c r="L416" s="1">
        <v>45165</v>
      </c>
      <c r="M416" t="s">
        <v>24</v>
      </c>
      <c r="N416" s="4">
        <v>1761796.83</v>
      </c>
      <c r="O416" t="s">
        <v>25</v>
      </c>
      <c r="P416" t="str">
        <f t="shared" si="6"/>
        <v>2023-08</v>
      </c>
    </row>
    <row r="417" spans="1:16" ht="15.75" customHeight="1" x14ac:dyDescent="0.3">
      <c r="A417" t="s">
        <v>920</v>
      </c>
      <c r="B417">
        <v>904317</v>
      </c>
      <c r="C417" t="s">
        <v>921</v>
      </c>
      <c r="D417">
        <v>634833077589</v>
      </c>
      <c r="E417" t="s">
        <v>91</v>
      </c>
      <c r="F417" t="s">
        <v>130</v>
      </c>
      <c r="G417" t="s">
        <v>80</v>
      </c>
      <c r="H417" t="s">
        <v>67</v>
      </c>
      <c r="I417" t="s">
        <v>38</v>
      </c>
      <c r="J417" s="4">
        <v>50275.6</v>
      </c>
      <c r="K417" t="s">
        <v>32</v>
      </c>
      <c r="L417" s="1">
        <v>45489</v>
      </c>
      <c r="M417" t="s">
        <v>24</v>
      </c>
      <c r="N417" s="4">
        <v>1696282.05</v>
      </c>
      <c r="O417" t="s">
        <v>25</v>
      </c>
      <c r="P417" t="str">
        <f t="shared" si="6"/>
        <v>2024-07</v>
      </c>
    </row>
    <row r="418" spans="1:16" ht="15.75" customHeight="1" x14ac:dyDescent="0.3">
      <c r="A418" t="s">
        <v>922</v>
      </c>
      <c r="B418">
        <v>994371</v>
      </c>
      <c r="C418" t="s">
        <v>923</v>
      </c>
      <c r="D418">
        <v>681386364839</v>
      </c>
      <c r="E418" t="s">
        <v>28</v>
      </c>
      <c r="F418" t="s">
        <v>150</v>
      </c>
      <c r="G418" t="s">
        <v>80</v>
      </c>
      <c r="H418" t="s">
        <v>70</v>
      </c>
      <c r="I418" t="s">
        <v>53</v>
      </c>
      <c r="J418" s="4">
        <v>49848.98</v>
      </c>
      <c r="K418" t="s">
        <v>49</v>
      </c>
      <c r="L418" s="1">
        <v>45727</v>
      </c>
      <c r="M418" t="s">
        <v>24</v>
      </c>
      <c r="N418" s="4">
        <v>1869459.68</v>
      </c>
      <c r="O418" t="s">
        <v>25</v>
      </c>
      <c r="P418" t="str">
        <f t="shared" si="6"/>
        <v>2025-03</v>
      </c>
    </row>
    <row r="419" spans="1:16" ht="15.75" customHeight="1" x14ac:dyDescent="0.3">
      <c r="A419" t="s">
        <v>924</v>
      </c>
      <c r="B419">
        <v>544541</v>
      </c>
      <c r="C419" t="s">
        <v>925</v>
      </c>
      <c r="D419">
        <v>339699282348</v>
      </c>
      <c r="E419" t="s">
        <v>91</v>
      </c>
      <c r="F419" t="s">
        <v>109</v>
      </c>
      <c r="G419" t="s">
        <v>80</v>
      </c>
      <c r="H419" t="s">
        <v>31</v>
      </c>
      <c r="I419" t="s">
        <v>22</v>
      </c>
      <c r="J419" s="4">
        <v>47698.28</v>
      </c>
      <c r="K419" t="s">
        <v>49</v>
      </c>
      <c r="L419" s="1">
        <v>45383</v>
      </c>
      <c r="M419" t="s">
        <v>24</v>
      </c>
      <c r="N419" s="4">
        <v>445276.17</v>
      </c>
      <c r="O419" t="s">
        <v>25</v>
      </c>
      <c r="P419" t="str">
        <f t="shared" si="6"/>
        <v>2024-04</v>
      </c>
    </row>
    <row r="420" spans="1:16" ht="15.75" customHeight="1" x14ac:dyDescent="0.3">
      <c r="A420" t="s">
        <v>926</v>
      </c>
      <c r="B420">
        <v>814098</v>
      </c>
      <c r="C420" t="s">
        <v>927</v>
      </c>
      <c r="D420">
        <v>634498445905</v>
      </c>
      <c r="E420" t="s">
        <v>28</v>
      </c>
      <c r="F420" t="s">
        <v>216</v>
      </c>
      <c r="G420" t="s">
        <v>80</v>
      </c>
      <c r="H420" t="s">
        <v>21</v>
      </c>
      <c r="I420" t="s">
        <v>48</v>
      </c>
      <c r="J420" s="4">
        <v>47207.39</v>
      </c>
      <c r="K420" t="s">
        <v>32</v>
      </c>
      <c r="L420" s="1">
        <v>45373</v>
      </c>
      <c r="M420" t="s">
        <v>24</v>
      </c>
      <c r="N420" s="4">
        <v>946157.45</v>
      </c>
      <c r="O420" t="s">
        <v>25</v>
      </c>
      <c r="P420" t="str">
        <f t="shared" si="6"/>
        <v>2024-03</v>
      </c>
    </row>
    <row r="421" spans="1:16" ht="15.75" customHeight="1" x14ac:dyDescent="0.3">
      <c r="A421" t="s">
        <v>928</v>
      </c>
      <c r="B421">
        <v>362469</v>
      </c>
      <c r="C421" t="s">
        <v>929</v>
      </c>
      <c r="D421">
        <v>574613910418</v>
      </c>
      <c r="E421" t="s">
        <v>18</v>
      </c>
      <c r="F421" t="s">
        <v>46</v>
      </c>
      <c r="G421" t="s">
        <v>80</v>
      </c>
      <c r="H421" t="s">
        <v>67</v>
      </c>
      <c r="I421" t="s">
        <v>38</v>
      </c>
      <c r="J421" s="4">
        <v>46462.29</v>
      </c>
      <c r="K421" t="s">
        <v>23</v>
      </c>
      <c r="L421" s="1">
        <v>45759</v>
      </c>
      <c r="M421" t="s">
        <v>24</v>
      </c>
      <c r="N421" s="4">
        <v>536984.80000000005</v>
      </c>
      <c r="O421" t="s">
        <v>25</v>
      </c>
      <c r="P421" t="str">
        <f t="shared" si="6"/>
        <v>2025-04</v>
      </c>
    </row>
    <row r="422" spans="1:16" ht="15.75" customHeight="1" x14ac:dyDescent="0.3">
      <c r="A422" t="s">
        <v>930</v>
      </c>
      <c r="B422">
        <v>156651</v>
      </c>
      <c r="C422" t="s">
        <v>931</v>
      </c>
      <c r="D422">
        <v>712831351149</v>
      </c>
      <c r="E422" t="s">
        <v>64</v>
      </c>
      <c r="F422" t="s">
        <v>83</v>
      </c>
      <c r="G422" t="s">
        <v>80</v>
      </c>
      <c r="H422" t="s">
        <v>31</v>
      </c>
      <c r="I422" t="s">
        <v>48</v>
      </c>
      <c r="J422" s="4">
        <v>46440.959999999999</v>
      </c>
      <c r="K422" t="s">
        <v>98</v>
      </c>
      <c r="L422" s="1">
        <v>45205</v>
      </c>
      <c r="M422" t="s">
        <v>24</v>
      </c>
      <c r="N422" s="4">
        <v>2062458.03</v>
      </c>
      <c r="O422" t="s">
        <v>25</v>
      </c>
      <c r="P422" t="str">
        <f t="shared" si="6"/>
        <v>2023-10</v>
      </c>
    </row>
    <row r="423" spans="1:16" ht="15.75" customHeight="1" x14ac:dyDescent="0.3">
      <c r="A423" t="s">
        <v>932</v>
      </c>
      <c r="B423">
        <v>223991</v>
      </c>
      <c r="C423" t="s">
        <v>933</v>
      </c>
      <c r="D423">
        <v>925585552693</v>
      </c>
      <c r="E423" t="s">
        <v>18</v>
      </c>
      <c r="F423" t="s">
        <v>56</v>
      </c>
      <c r="G423" t="s">
        <v>80</v>
      </c>
      <c r="H423" t="s">
        <v>21</v>
      </c>
      <c r="I423" t="s">
        <v>22</v>
      </c>
      <c r="J423" s="4">
        <v>45421.34</v>
      </c>
      <c r="K423" t="s">
        <v>98</v>
      </c>
      <c r="L423" s="1">
        <v>45753</v>
      </c>
      <c r="M423" t="s">
        <v>24</v>
      </c>
      <c r="N423" s="4">
        <v>718722.06</v>
      </c>
      <c r="O423" t="s">
        <v>25</v>
      </c>
      <c r="P423" t="str">
        <f t="shared" si="6"/>
        <v>2025-04</v>
      </c>
    </row>
    <row r="424" spans="1:16" ht="15.75" customHeight="1" x14ac:dyDescent="0.3">
      <c r="A424" t="s">
        <v>934</v>
      </c>
      <c r="B424">
        <v>381958</v>
      </c>
      <c r="C424" t="s">
        <v>935</v>
      </c>
      <c r="D424">
        <v>503095894291</v>
      </c>
      <c r="E424" t="s">
        <v>64</v>
      </c>
      <c r="F424" t="s">
        <v>83</v>
      </c>
      <c r="G424" t="s">
        <v>80</v>
      </c>
      <c r="H424" t="s">
        <v>31</v>
      </c>
      <c r="I424" t="s">
        <v>48</v>
      </c>
      <c r="J424" s="4">
        <v>45405.21</v>
      </c>
      <c r="K424" t="s">
        <v>49</v>
      </c>
      <c r="L424" s="1">
        <v>45489</v>
      </c>
      <c r="M424" t="s">
        <v>24</v>
      </c>
      <c r="N424" s="4">
        <v>830174.30999999994</v>
      </c>
      <c r="O424" t="s">
        <v>25</v>
      </c>
      <c r="P424" t="str">
        <f t="shared" si="6"/>
        <v>2024-07</v>
      </c>
    </row>
    <row r="425" spans="1:16" ht="15.75" customHeight="1" x14ac:dyDescent="0.3">
      <c r="A425" t="s">
        <v>936</v>
      </c>
      <c r="B425">
        <v>888870</v>
      </c>
      <c r="C425" t="s">
        <v>937</v>
      </c>
      <c r="D425">
        <v>455614151118</v>
      </c>
      <c r="E425" t="s">
        <v>91</v>
      </c>
      <c r="F425" t="s">
        <v>109</v>
      </c>
      <c r="G425" t="s">
        <v>80</v>
      </c>
      <c r="H425" t="s">
        <v>70</v>
      </c>
      <c r="I425" t="s">
        <v>22</v>
      </c>
      <c r="J425" s="4">
        <v>45309.52</v>
      </c>
      <c r="K425" t="s">
        <v>49</v>
      </c>
      <c r="L425" s="1">
        <v>45528</v>
      </c>
      <c r="M425" t="s">
        <v>24</v>
      </c>
      <c r="N425" s="4">
        <v>1043689.06</v>
      </c>
      <c r="O425" t="s">
        <v>25</v>
      </c>
      <c r="P425" t="str">
        <f t="shared" si="6"/>
        <v>2024-08</v>
      </c>
    </row>
    <row r="426" spans="1:16" ht="15.75" customHeight="1" x14ac:dyDescent="0.3">
      <c r="A426" t="s">
        <v>938</v>
      </c>
      <c r="B426">
        <v>194074</v>
      </c>
      <c r="C426" t="s">
        <v>939</v>
      </c>
      <c r="D426">
        <v>370100981708</v>
      </c>
      <c r="E426" t="s">
        <v>18</v>
      </c>
      <c r="F426" t="s">
        <v>56</v>
      </c>
      <c r="G426" t="s">
        <v>80</v>
      </c>
      <c r="H426" t="s">
        <v>31</v>
      </c>
      <c r="I426" t="s">
        <v>38</v>
      </c>
      <c r="J426" s="4">
        <v>44496.26</v>
      </c>
      <c r="K426" t="s">
        <v>98</v>
      </c>
      <c r="L426" s="1">
        <v>45229</v>
      </c>
      <c r="M426" t="s">
        <v>24</v>
      </c>
      <c r="N426" s="4">
        <v>821912.01</v>
      </c>
      <c r="O426" t="s">
        <v>25</v>
      </c>
      <c r="P426" t="str">
        <f t="shared" si="6"/>
        <v>2023-10</v>
      </c>
    </row>
    <row r="427" spans="1:16" ht="15.75" customHeight="1" x14ac:dyDescent="0.3">
      <c r="A427" t="s">
        <v>940</v>
      </c>
      <c r="B427">
        <v>870636</v>
      </c>
      <c r="C427" t="s">
        <v>941</v>
      </c>
      <c r="D427">
        <v>265725559669</v>
      </c>
      <c r="E427" t="s">
        <v>35</v>
      </c>
      <c r="F427" t="s">
        <v>42</v>
      </c>
      <c r="G427" t="s">
        <v>80</v>
      </c>
      <c r="H427" t="s">
        <v>70</v>
      </c>
      <c r="I427" t="s">
        <v>22</v>
      </c>
      <c r="J427" s="4">
        <v>44124.36</v>
      </c>
      <c r="K427" t="s">
        <v>98</v>
      </c>
      <c r="L427" s="1">
        <v>45340</v>
      </c>
      <c r="M427" t="s">
        <v>24</v>
      </c>
      <c r="N427" s="4">
        <v>1860252.84</v>
      </c>
      <c r="O427" t="s">
        <v>25</v>
      </c>
      <c r="P427" t="str">
        <f t="shared" si="6"/>
        <v>2024-02</v>
      </c>
    </row>
    <row r="428" spans="1:16" ht="15.75" customHeight="1" x14ac:dyDescent="0.3">
      <c r="A428" t="s">
        <v>942</v>
      </c>
      <c r="B428">
        <v>417871</v>
      </c>
      <c r="C428" t="s">
        <v>943</v>
      </c>
      <c r="D428">
        <v>340570703401</v>
      </c>
      <c r="E428" t="s">
        <v>18</v>
      </c>
      <c r="F428" t="s">
        <v>156</v>
      </c>
      <c r="G428" t="s">
        <v>80</v>
      </c>
      <c r="H428" t="s">
        <v>67</v>
      </c>
      <c r="I428" t="s">
        <v>53</v>
      </c>
      <c r="J428" s="4">
        <v>43912.42</v>
      </c>
      <c r="K428" t="s">
        <v>32</v>
      </c>
      <c r="L428" s="1">
        <v>45278</v>
      </c>
      <c r="M428" t="s">
        <v>24</v>
      </c>
      <c r="N428" s="4">
        <v>305126.23</v>
      </c>
      <c r="O428" t="s">
        <v>25</v>
      </c>
      <c r="P428" t="str">
        <f t="shared" si="6"/>
        <v>2023-12</v>
      </c>
    </row>
    <row r="429" spans="1:16" ht="15.75" customHeight="1" x14ac:dyDescent="0.3">
      <c r="A429" t="s">
        <v>944</v>
      </c>
      <c r="B429">
        <v>514407</v>
      </c>
      <c r="C429" t="s">
        <v>945</v>
      </c>
      <c r="D429">
        <v>675036663044</v>
      </c>
      <c r="E429" t="s">
        <v>91</v>
      </c>
      <c r="F429" t="s">
        <v>130</v>
      </c>
      <c r="G429" t="s">
        <v>80</v>
      </c>
      <c r="H429" t="s">
        <v>70</v>
      </c>
      <c r="I429" t="s">
        <v>48</v>
      </c>
      <c r="J429" s="4">
        <v>42148.13</v>
      </c>
      <c r="K429" t="s">
        <v>39</v>
      </c>
      <c r="L429" s="1">
        <v>45496</v>
      </c>
      <c r="M429" t="s">
        <v>24</v>
      </c>
      <c r="N429" s="4">
        <v>1580999.81</v>
      </c>
      <c r="O429" t="s">
        <v>25</v>
      </c>
      <c r="P429" t="str">
        <f t="shared" si="6"/>
        <v>2024-07</v>
      </c>
    </row>
    <row r="430" spans="1:16" ht="15.75" customHeight="1" x14ac:dyDescent="0.3">
      <c r="A430" t="s">
        <v>946</v>
      </c>
      <c r="B430">
        <v>356658</v>
      </c>
      <c r="C430" t="s">
        <v>947</v>
      </c>
      <c r="D430">
        <v>605418878157</v>
      </c>
      <c r="E430" t="s">
        <v>91</v>
      </c>
      <c r="F430" t="s">
        <v>105</v>
      </c>
      <c r="G430" t="s">
        <v>80</v>
      </c>
      <c r="H430" t="s">
        <v>70</v>
      </c>
      <c r="I430" t="s">
        <v>22</v>
      </c>
      <c r="J430" s="4">
        <v>41441.83</v>
      </c>
      <c r="K430" t="s">
        <v>32</v>
      </c>
      <c r="L430" s="1">
        <v>45204</v>
      </c>
      <c r="M430" t="s">
        <v>24</v>
      </c>
      <c r="N430" s="4">
        <v>527727.55000000005</v>
      </c>
      <c r="O430" t="s">
        <v>25</v>
      </c>
      <c r="P430" t="str">
        <f t="shared" si="6"/>
        <v>2023-10</v>
      </c>
    </row>
    <row r="431" spans="1:16" ht="15.75" customHeight="1" x14ac:dyDescent="0.3">
      <c r="A431" t="s">
        <v>948</v>
      </c>
      <c r="B431">
        <v>256689</v>
      </c>
      <c r="C431" t="s">
        <v>949</v>
      </c>
      <c r="D431">
        <v>597626604290</v>
      </c>
      <c r="E431" t="s">
        <v>18</v>
      </c>
      <c r="F431" t="s">
        <v>87</v>
      </c>
      <c r="G431" t="s">
        <v>80</v>
      </c>
      <c r="H431" t="s">
        <v>67</v>
      </c>
      <c r="I431" t="s">
        <v>22</v>
      </c>
      <c r="J431" s="4">
        <v>41041.120000000003</v>
      </c>
      <c r="K431" t="s">
        <v>32</v>
      </c>
      <c r="L431" s="1">
        <v>45168</v>
      </c>
      <c r="M431" t="s">
        <v>24</v>
      </c>
      <c r="N431" s="4">
        <v>1057833.83</v>
      </c>
      <c r="O431" t="s">
        <v>25</v>
      </c>
      <c r="P431" t="str">
        <f t="shared" si="6"/>
        <v>2023-08</v>
      </c>
    </row>
    <row r="432" spans="1:16" ht="15.75" customHeight="1" x14ac:dyDescent="0.3">
      <c r="A432" t="s">
        <v>950</v>
      </c>
      <c r="B432">
        <v>172968</v>
      </c>
      <c r="C432" t="s">
        <v>951</v>
      </c>
      <c r="D432">
        <v>223152974785</v>
      </c>
      <c r="E432" t="s">
        <v>91</v>
      </c>
      <c r="F432" t="s">
        <v>92</v>
      </c>
      <c r="G432" t="s">
        <v>43</v>
      </c>
      <c r="H432" t="s">
        <v>31</v>
      </c>
      <c r="I432" t="s">
        <v>48</v>
      </c>
      <c r="J432" s="4">
        <v>40907.24</v>
      </c>
      <c r="K432" t="s">
        <v>98</v>
      </c>
      <c r="L432" s="1">
        <v>45549</v>
      </c>
      <c r="M432" t="s">
        <v>24</v>
      </c>
      <c r="N432" s="4">
        <v>1260667.3500000001</v>
      </c>
      <c r="O432" t="s">
        <v>25</v>
      </c>
      <c r="P432" t="str">
        <f t="shared" si="6"/>
        <v>2024-09</v>
      </c>
    </row>
    <row r="433" spans="1:16" ht="15.75" customHeight="1" x14ac:dyDescent="0.3">
      <c r="A433" t="s">
        <v>952</v>
      </c>
      <c r="B433">
        <v>473572</v>
      </c>
      <c r="C433" t="s">
        <v>953</v>
      </c>
      <c r="D433">
        <v>862059035512</v>
      </c>
      <c r="E433" t="s">
        <v>35</v>
      </c>
      <c r="F433" t="s">
        <v>60</v>
      </c>
      <c r="G433" t="s">
        <v>43</v>
      </c>
      <c r="H433" t="s">
        <v>67</v>
      </c>
      <c r="I433" t="s">
        <v>22</v>
      </c>
      <c r="J433" s="4">
        <v>40273.629999999997</v>
      </c>
      <c r="K433" t="s">
        <v>39</v>
      </c>
      <c r="L433" s="1">
        <v>45630</v>
      </c>
      <c r="M433" t="s">
        <v>24</v>
      </c>
      <c r="N433" s="4">
        <v>460516.67</v>
      </c>
      <c r="O433" t="s">
        <v>25</v>
      </c>
      <c r="P433" t="str">
        <f t="shared" si="6"/>
        <v>2024-12</v>
      </c>
    </row>
    <row r="434" spans="1:16" ht="15.75" customHeight="1" x14ac:dyDescent="0.3">
      <c r="A434" t="s">
        <v>954</v>
      </c>
      <c r="B434">
        <v>727196</v>
      </c>
      <c r="C434" t="s">
        <v>955</v>
      </c>
      <c r="D434">
        <v>213803806556</v>
      </c>
      <c r="E434" t="s">
        <v>18</v>
      </c>
      <c r="F434" t="s">
        <v>156</v>
      </c>
      <c r="G434" t="s">
        <v>43</v>
      </c>
      <c r="H434" t="s">
        <v>21</v>
      </c>
      <c r="I434" t="s">
        <v>48</v>
      </c>
      <c r="J434" s="4">
        <v>40155.279999999999</v>
      </c>
      <c r="K434" t="s">
        <v>39</v>
      </c>
      <c r="L434" s="1">
        <v>45289</v>
      </c>
      <c r="M434" t="s">
        <v>113</v>
      </c>
      <c r="N434" s="4">
        <v>2062704.01</v>
      </c>
      <c r="O434" t="s">
        <v>25</v>
      </c>
      <c r="P434" t="str">
        <f t="shared" si="6"/>
        <v>2023-12</v>
      </c>
    </row>
    <row r="435" spans="1:16" ht="15.75" customHeight="1" x14ac:dyDescent="0.3">
      <c r="A435" t="s">
        <v>956</v>
      </c>
      <c r="B435">
        <v>310437</v>
      </c>
      <c r="C435" t="s">
        <v>957</v>
      </c>
      <c r="D435">
        <v>619311161355</v>
      </c>
      <c r="E435" t="s">
        <v>28</v>
      </c>
      <c r="F435" t="s">
        <v>192</v>
      </c>
      <c r="G435" t="s">
        <v>43</v>
      </c>
      <c r="H435" t="s">
        <v>21</v>
      </c>
      <c r="I435" t="s">
        <v>48</v>
      </c>
      <c r="J435" s="4">
        <v>39572.94</v>
      </c>
      <c r="K435" t="s">
        <v>32</v>
      </c>
      <c r="L435" s="1">
        <v>45711</v>
      </c>
      <c r="M435" t="s">
        <v>24</v>
      </c>
      <c r="N435" s="4">
        <v>1212113.4099999999</v>
      </c>
      <c r="O435" t="s">
        <v>25</v>
      </c>
      <c r="P435" t="str">
        <f t="shared" si="6"/>
        <v>2025-02</v>
      </c>
    </row>
    <row r="436" spans="1:16" ht="15.75" customHeight="1" x14ac:dyDescent="0.3">
      <c r="A436" t="s">
        <v>958</v>
      </c>
      <c r="B436">
        <v>446826</v>
      </c>
      <c r="C436" t="s">
        <v>959</v>
      </c>
      <c r="D436">
        <v>369238077065</v>
      </c>
      <c r="E436" t="s">
        <v>18</v>
      </c>
      <c r="F436" t="s">
        <v>156</v>
      </c>
      <c r="G436" t="s">
        <v>43</v>
      </c>
      <c r="H436" t="s">
        <v>31</v>
      </c>
      <c r="I436" t="s">
        <v>38</v>
      </c>
      <c r="J436" s="4">
        <v>37759.040000000001</v>
      </c>
      <c r="K436" t="s">
        <v>98</v>
      </c>
      <c r="L436" s="1">
        <v>45345</v>
      </c>
      <c r="M436" t="s">
        <v>24</v>
      </c>
      <c r="N436" s="4">
        <v>233863.72</v>
      </c>
      <c r="O436" t="s">
        <v>25</v>
      </c>
      <c r="P436" t="str">
        <f t="shared" si="6"/>
        <v>2024-02</v>
      </c>
    </row>
    <row r="437" spans="1:16" ht="15.75" customHeight="1" x14ac:dyDescent="0.3">
      <c r="A437" t="s">
        <v>960</v>
      </c>
      <c r="B437">
        <v>330179</v>
      </c>
      <c r="C437" t="s">
        <v>961</v>
      </c>
      <c r="D437">
        <v>507751770849</v>
      </c>
      <c r="E437" t="s">
        <v>35</v>
      </c>
      <c r="F437" t="s">
        <v>60</v>
      </c>
      <c r="G437" t="s">
        <v>43</v>
      </c>
      <c r="H437" t="s">
        <v>70</v>
      </c>
      <c r="I437" t="s">
        <v>38</v>
      </c>
      <c r="J437" s="4">
        <v>36992.14</v>
      </c>
      <c r="K437" t="s">
        <v>32</v>
      </c>
      <c r="L437" s="1">
        <v>45279</v>
      </c>
      <c r="M437" t="s">
        <v>24</v>
      </c>
      <c r="N437" s="4">
        <v>1697759.69</v>
      </c>
      <c r="O437" t="s">
        <v>25</v>
      </c>
      <c r="P437" t="str">
        <f t="shared" si="6"/>
        <v>2023-12</v>
      </c>
    </row>
    <row r="438" spans="1:16" ht="15.75" customHeight="1" x14ac:dyDescent="0.3">
      <c r="A438" t="s">
        <v>962</v>
      </c>
      <c r="B438">
        <v>129665</v>
      </c>
      <c r="C438" t="s">
        <v>963</v>
      </c>
      <c r="D438">
        <v>685732683411</v>
      </c>
      <c r="E438" t="s">
        <v>91</v>
      </c>
      <c r="F438" t="s">
        <v>109</v>
      </c>
      <c r="G438" t="s">
        <v>43</v>
      </c>
      <c r="H438" t="s">
        <v>70</v>
      </c>
      <c r="I438" t="s">
        <v>38</v>
      </c>
      <c r="J438" s="4">
        <v>35630.32</v>
      </c>
      <c r="K438" t="s">
        <v>49</v>
      </c>
      <c r="L438" s="1">
        <v>45259</v>
      </c>
      <c r="M438" t="s">
        <v>24</v>
      </c>
      <c r="N438" s="4">
        <v>1801082.85</v>
      </c>
      <c r="O438" t="s">
        <v>25</v>
      </c>
      <c r="P438" t="str">
        <f t="shared" si="6"/>
        <v>2023-11</v>
      </c>
    </row>
    <row r="439" spans="1:16" ht="15.75" customHeight="1" x14ac:dyDescent="0.3">
      <c r="A439" t="s">
        <v>964</v>
      </c>
      <c r="B439">
        <v>366999</v>
      </c>
      <c r="C439" t="s">
        <v>965</v>
      </c>
      <c r="D439">
        <v>105097624705</v>
      </c>
      <c r="E439" t="s">
        <v>18</v>
      </c>
      <c r="F439" t="s">
        <v>156</v>
      </c>
      <c r="G439" t="s">
        <v>43</v>
      </c>
      <c r="H439" t="s">
        <v>31</v>
      </c>
      <c r="I439" t="s">
        <v>48</v>
      </c>
      <c r="J439" s="4">
        <v>34703.17</v>
      </c>
      <c r="K439" t="s">
        <v>98</v>
      </c>
      <c r="L439" s="1">
        <v>45559</v>
      </c>
      <c r="M439" t="s">
        <v>24</v>
      </c>
      <c r="N439" s="4">
        <v>592520.64</v>
      </c>
      <c r="O439" t="s">
        <v>25</v>
      </c>
      <c r="P439" t="str">
        <f t="shared" si="6"/>
        <v>2024-09</v>
      </c>
    </row>
    <row r="440" spans="1:16" ht="15.75" customHeight="1" x14ac:dyDescent="0.3">
      <c r="A440" t="s">
        <v>966</v>
      </c>
      <c r="B440">
        <v>552388</v>
      </c>
      <c r="C440" t="s">
        <v>967</v>
      </c>
      <c r="D440">
        <v>453842146842</v>
      </c>
      <c r="E440" t="s">
        <v>18</v>
      </c>
      <c r="F440" t="s">
        <v>19</v>
      </c>
      <c r="G440" t="s">
        <v>43</v>
      </c>
      <c r="H440" t="s">
        <v>70</v>
      </c>
      <c r="I440" t="s">
        <v>53</v>
      </c>
      <c r="J440" s="4">
        <v>34188.99</v>
      </c>
      <c r="K440" t="s">
        <v>49</v>
      </c>
      <c r="L440" s="1">
        <v>45478</v>
      </c>
      <c r="M440" t="s">
        <v>24</v>
      </c>
      <c r="N440" s="4">
        <v>1149629.3799999999</v>
      </c>
      <c r="O440" t="s">
        <v>25</v>
      </c>
      <c r="P440" t="str">
        <f t="shared" si="6"/>
        <v>2024-07</v>
      </c>
    </row>
    <row r="441" spans="1:16" ht="15.75" customHeight="1" x14ac:dyDescent="0.3">
      <c r="A441" t="s">
        <v>968</v>
      </c>
      <c r="B441">
        <v>523936</v>
      </c>
      <c r="C441" t="s">
        <v>969</v>
      </c>
      <c r="D441">
        <v>145261144154</v>
      </c>
      <c r="E441" t="s">
        <v>91</v>
      </c>
      <c r="F441" t="s">
        <v>92</v>
      </c>
      <c r="G441" t="s">
        <v>43</v>
      </c>
      <c r="H441" t="s">
        <v>70</v>
      </c>
      <c r="I441" t="s">
        <v>48</v>
      </c>
      <c r="J441" s="4">
        <v>34180.81</v>
      </c>
      <c r="K441" t="s">
        <v>49</v>
      </c>
      <c r="L441" s="1">
        <v>45288</v>
      </c>
      <c r="M441" t="s">
        <v>168</v>
      </c>
      <c r="N441" s="4">
        <v>1510625.24</v>
      </c>
      <c r="O441" t="s">
        <v>25</v>
      </c>
      <c r="P441" t="str">
        <f t="shared" si="6"/>
        <v>2023-12</v>
      </c>
    </row>
    <row r="442" spans="1:16" ht="15.75" customHeight="1" x14ac:dyDescent="0.3">
      <c r="A442" t="s">
        <v>970</v>
      </c>
      <c r="B442">
        <v>454612</v>
      </c>
      <c r="C442" t="s">
        <v>971</v>
      </c>
      <c r="D442">
        <v>305188756174</v>
      </c>
      <c r="E442" t="s">
        <v>91</v>
      </c>
      <c r="F442" t="s">
        <v>162</v>
      </c>
      <c r="G442" t="s">
        <v>43</v>
      </c>
      <c r="H442" t="s">
        <v>21</v>
      </c>
      <c r="I442" t="s">
        <v>53</v>
      </c>
      <c r="J442" s="4">
        <v>34140.730000000003</v>
      </c>
      <c r="K442" t="s">
        <v>98</v>
      </c>
      <c r="L442" s="1">
        <v>45403</v>
      </c>
      <c r="M442" t="s">
        <v>168</v>
      </c>
      <c r="N442" s="4">
        <v>1653549.79</v>
      </c>
      <c r="O442" t="s">
        <v>25</v>
      </c>
      <c r="P442" t="str">
        <f t="shared" si="6"/>
        <v>2024-04</v>
      </c>
    </row>
    <row r="443" spans="1:16" ht="15.75" customHeight="1" x14ac:dyDescent="0.3">
      <c r="A443" t="s">
        <v>972</v>
      </c>
      <c r="B443">
        <v>222331</v>
      </c>
      <c r="C443" t="s">
        <v>973</v>
      </c>
      <c r="D443">
        <v>732483075544</v>
      </c>
      <c r="E443" t="s">
        <v>28</v>
      </c>
      <c r="F443" t="s">
        <v>79</v>
      </c>
      <c r="G443" t="s">
        <v>43</v>
      </c>
      <c r="H443" t="s">
        <v>67</v>
      </c>
      <c r="I443" t="s">
        <v>22</v>
      </c>
      <c r="J443" s="4">
        <v>32917.839999999997</v>
      </c>
      <c r="K443" t="s">
        <v>39</v>
      </c>
      <c r="L443" s="1">
        <v>45304</v>
      </c>
      <c r="M443" t="s">
        <v>24</v>
      </c>
      <c r="N443" s="4">
        <v>1249983.6100000001</v>
      </c>
      <c r="O443" t="s">
        <v>25</v>
      </c>
      <c r="P443" t="str">
        <f t="shared" si="6"/>
        <v>2024-01</v>
      </c>
    </row>
    <row r="444" spans="1:16" ht="15.75" customHeight="1" x14ac:dyDescent="0.3">
      <c r="A444" t="s">
        <v>974</v>
      </c>
      <c r="B444">
        <v>457761</v>
      </c>
      <c r="C444" t="s">
        <v>975</v>
      </c>
      <c r="D444">
        <v>630313159087</v>
      </c>
      <c r="E444" t="s">
        <v>35</v>
      </c>
      <c r="F444" t="s">
        <v>73</v>
      </c>
      <c r="G444" t="s">
        <v>43</v>
      </c>
      <c r="H444" t="s">
        <v>70</v>
      </c>
      <c r="I444" t="s">
        <v>22</v>
      </c>
      <c r="J444" s="4">
        <v>32866.42</v>
      </c>
      <c r="K444" t="s">
        <v>49</v>
      </c>
      <c r="L444" s="1">
        <v>45612</v>
      </c>
      <c r="M444" t="s">
        <v>24</v>
      </c>
      <c r="N444" s="4">
        <v>1182670.67</v>
      </c>
      <c r="O444" t="s">
        <v>25</v>
      </c>
      <c r="P444" t="str">
        <f t="shared" si="6"/>
        <v>2024-11</v>
      </c>
    </row>
    <row r="445" spans="1:16" ht="15.75" customHeight="1" x14ac:dyDescent="0.3">
      <c r="A445" t="s">
        <v>976</v>
      </c>
      <c r="B445">
        <v>784041</v>
      </c>
      <c r="C445" t="s">
        <v>977</v>
      </c>
      <c r="D445">
        <v>233652635234</v>
      </c>
      <c r="E445" t="s">
        <v>64</v>
      </c>
      <c r="F445" t="s">
        <v>166</v>
      </c>
      <c r="G445" t="s">
        <v>43</v>
      </c>
      <c r="H445" t="s">
        <v>21</v>
      </c>
      <c r="I445" t="s">
        <v>48</v>
      </c>
      <c r="J445" s="4">
        <v>29516.09</v>
      </c>
      <c r="K445" t="s">
        <v>39</v>
      </c>
      <c r="L445" s="1">
        <v>45764</v>
      </c>
      <c r="M445" t="s">
        <v>24</v>
      </c>
      <c r="N445" s="4">
        <v>1262558.1000000001</v>
      </c>
      <c r="O445" t="s">
        <v>25</v>
      </c>
      <c r="P445" t="str">
        <f t="shared" si="6"/>
        <v>2025-04</v>
      </c>
    </row>
    <row r="446" spans="1:16" ht="15.75" customHeight="1" x14ac:dyDescent="0.3">
      <c r="A446" t="s">
        <v>978</v>
      </c>
      <c r="B446">
        <v>130029</v>
      </c>
      <c r="C446" t="s">
        <v>979</v>
      </c>
      <c r="D446">
        <v>649264358079</v>
      </c>
      <c r="E446" t="s">
        <v>35</v>
      </c>
      <c r="F446" t="s">
        <v>136</v>
      </c>
      <c r="G446" t="s">
        <v>43</v>
      </c>
      <c r="H446" t="s">
        <v>21</v>
      </c>
      <c r="I446" t="s">
        <v>48</v>
      </c>
      <c r="J446" s="4">
        <v>28863.24</v>
      </c>
      <c r="K446" t="s">
        <v>23</v>
      </c>
      <c r="L446" s="1">
        <v>45400</v>
      </c>
      <c r="M446" t="s">
        <v>24</v>
      </c>
      <c r="N446" s="4">
        <v>678673.67999999993</v>
      </c>
      <c r="O446" t="s">
        <v>25</v>
      </c>
      <c r="P446" t="str">
        <f t="shared" si="6"/>
        <v>2024-04</v>
      </c>
    </row>
    <row r="447" spans="1:16" ht="15.75" customHeight="1" x14ac:dyDescent="0.3">
      <c r="A447" t="s">
        <v>980</v>
      </c>
      <c r="B447">
        <v>806467</v>
      </c>
      <c r="C447" t="s">
        <v>981</v>
      </c>
      <c r="D447">
        <v>781500218179</v>
      </c>
      <c r="E447" t="s">
        <v>64</v>
      </c>
      <c r="F447" t="s">
        <v>65</v>
      </c>
      <c r="G447" t="s">
        <v>43</v>
      </c>
      <c r="H447" t="s">
        <v>67</v>
      </c>
      <c r="I447" t="s">
        <v>48</v>
      </c>
      <c r="J447" s="4">
        <v>28423.01</v>
      </c>
      <c r="K447" t="s">
        <v>39</v>
      </c>
      <c r="L447" s="1">
        <v>45207</v>
      </c>
      <c r="M447" t="s">
        <v>168</v>
      </c>
      <c r="N447" s="4">
        <v>296937.62</v>
      </c>
      <c r="O447" t="s">
        <v>25</v>
      </c>
      <c r="P447" t="str">
        <f t="shared" si="6"/>
        <v>2023-10</v>
      </c>
    </row>
    <row r="448" spans="1:16" ht="15.75" customHeight="1" x14ac:dyDescent="0.3">
      <c r="A448" t="s">
        <v>982</v>
      </c>
      <c r="B448">
        <v>908804</v>
      </c>
      <c r="C448" t="s">
        <v>983</v>
      </c>
      <c r="D448">
        <v>475332694595</v>
      </c>
      <c r="E448" t="s">
        <v>91</v>
      </c>
      <c r="F448" t="s">
        <v>130</v>
      </c>
      <c r="G448" t="s">
        <v>43</v>
      </c>
      <c r="H448" t="s">
        <v>31</v>
      </c>
      <c r="I448" t="s">
        <v>53</v>
      </c>
      <c r="J448" s="4">
        <v>27892.53</v>
      </c>
      <c r="K448" t="s">
        <v>98</v>
      </c>
      <c r="L448" s="1">
        <v>45258</v>
      </c>
      <c r="M448" t="s">
        <v>24</v>
      </c>
      <c r="N448" s="4">
        <v>951673.05999999994</v>
      </c>
      <c r="O448" t="s">
        <v>25</v>
      </c>
      <c r="P448" t="str">
        <f t="shared" si="6"/>
        <v>2023-11</v>
      </c>
    </row>
    <row r="449" spans="1:16" ht="15.75" customHeight="1" x14ac:dyDescent="0.3">
      <c r="A449" t="s">
        <v>984</v>
      </c>
      <c r="B449">
        <v>578684</v>
      </c>
      <c r="C449" t="s">
        <v>985</v>
      </c>
      <c r="D449">
        <v>726753454826</v>
      </c>
      <c r="E449" t="s">
        <v>28</v>
      </c>
      <c r="F449" t="s">
        <v>192</v>
      </c>
      <c r="G449" t="s">
        <v>43</v>
      </c>
      <c r="H449" t="s">
        <v>70</v>
      </c>
      <c r="I449" t="s">
        <v>38</v>
      </c>
      <c r="J449" s="4">
        <v>27356.09</v>
      </c>
      <c r="K449" t="s">
        <v>32</v>
      </c>
      <c r="L449" s="1">
        <v>45534</v>
      </c>
      <c r="M449" t="s">
        <v>24</v>
      </c>
      <c r="N449" s="4">
        <v>176477.34</v>
      </c>
      <c r="O449" t="s">
        <v>25</v>
      </c>
      <c r="P449" t="str">
        <f t="shared" si="6"/>
        <v>2024-08</v>
      </c>
    </row>
    <row r="450" spans="1:16" ht="15.75" customHeight="1" x14ac:dyDescent="0.3">
      <c r="A450" t="s">
        <v>986</v>
      </c>
      <c r="B450">
        <v>855681</v>
      </c>
      <c r="C450" t="s">
        <v>987</v>
      </c>
      <c r="D450">
        <v>190826722420</v>
      </c>
      <c r="E450" t="s">
        <v>35</v>
      </c>
      <c r="F450" t="s">
        <v>42</v>
      </c>
      <c r="G450" t="s">
        <v>43</v>
      </c>
      <c r="H450" t="s">
        <v>67</v>
      </c>
      <c r="I450" t="s">
        <v>38</v>
      </c>
      <c r="J450" s="4">
        <v>27223.82</v>
      </c>
      <c r="K450" t="s">
        <v>98</v>
      </c>
      <c r="L450" s="1">
        <v>45250</v>
      </c>
      <c r="M450" t="s">
        <v>24</v>
      </c>
      <c r="N450" s="4">
        <v>1640296.82</v>
      </c>
      <c r="O450" t="s">
        <v>25</v>
      </c>
      <c r="P450" t="str">
        <f t="shared" si="6"/>
        <v>2023-11</v>
      </c>
    </row>
    <row r="451" spans="1:16" ht="15.75" customHeight="1" x14ac:dyDescent="0.3">
      <c r="A451" t="s">
        <v>988</v>
      </c>
      <c r="B451">
        <v>453699</v>
      </c>
      <c r="C451" t="s">
        <v>989</v>
      </c>
      <c r="D451">
        <v>544604573240</v>
      </c>
      <c r="E451" t="s">
        <v>91</v>
      </c>
      <c r="F451" t="s">
        <v>130</v>
      </c>
      <c r="G451" t="s">
        <v>43</v>
      </c>
      <c r="H451" t="s">
        <v>31</v>
      </c>
      <c r="I451" t="s">
        <v>48</v>
      </c>
      <c r="J451" s="4">
        <v>27058.35</v>
      </c>
      <c r="K451" t="s">
        <v>23</v>
      </c>
      <c r="L451" s="1">
        <v>45669</v>
      </c>
      <c r="M451" t="s">
        <v>24</v>
      </c>
      <c r="N451" s="4">
        <v>1090544.8999999999</v>
      </c>
      <c r="O451" t="s">
        <v>25</v>
      </c>
      <c r="P451" t="str">
        <f t="shared" ref="P451:P501" si="7">TEXT(L451,"yyyy-mm")</f>
        <v>2025-01</v>
      </c>
    </row>
    <row r="452" spans="1:16" ht="15.75" customHeight="1" x14ac:dyDescent="0.3">
      <c r="A452" t="s">
        <v>990</v>
      </c>
      <c r="B452">
        <v>916141</v>
      </c>
      <c r="C452" t="s">
        <v>991</v>
      </c>
      <c r="D452">
        <v>838735243503</v>
      </c>
      <c r="E452" t="s">
        <v>28</v>
      </c>
      <c r="F452" t="s">
        <v>29</v>
      </c>
      <c r="G452" t="s">
        <v>57</v>
      </c>
      <c r="H452" t="s">
        <v>67</v>
      </c>
      <c r="I452" t="s">
        <v>38</v>
      </c>
      <c r="J452" s="4">
        <v>26907.46</v>
      </c>
      <c r="K452" t="s">
        <v>32</v>
      </c>
      <c r="L452" s="1">
        <v>45193</v>
      </c>
      <c r="M452" t="s">
        <v>24</v>
      </c>
      <c r="N452" s="4">
        <v>868277.44</v>
      </c>
      <c r="O452" t="s">
        <v>25</v>
      </c>
      <c r="P452" t="str">
        <f t="shared" si="7"/>
        <v>2023-09</v>
      </c>
    </row>
    <row r="453" spans="1:16" ht="15.75" customHeight="1" x14ac:dyDescent="0.3">
      <c r="A453" t="s">
        <v>992</v>
      </c>
      <c r="B453">
        <v>155828</v>
      </c>
      <c r="C453" t="s">
        <v>993</v>
      </c>
      <c r="D453">
        <v>139729440036</v>
      </c>
      <c r="E453" t="s">
        <v>35</v>
      </c>
      <c r="F453" t="s">
        <v>42</v>
      </c>
      <c r="G453" t="s">
        <v>57</v>
      </c>
      <c r="H453" t="s">
        <v>21</v>
      </c>
      <c r="I453" t="s">
        <v>48</v>
      </c>
      <c r="J453" s="4">
        <v>26846.38</v>
      </c>
      <c r="K453" t="s">
        <v>39</v>
      </c>
      <c r="L453" s="1">
        <v>45662</v>
      </c>
      <c r="M453" t="s">
        <v>24</v>
      </c>
      <c r="N453" s="4">
        <v>1805585.1</v>
      </c>
      <c r="O453" t="s">
        <v>25</v>
      </c>
      <c r="P453" t="str">
        <f t="shared" si="7"/>
        <v>2025-01</v>
      </c>
    </row>
    <row r="454" spans="1:16" ht="15.75" customHeight="1" x14ac:dyDescent="0.3">
      <c r="A454" t="s">
        <v>994</v>
      </c>
      <c r="B454">
        <v>612319</v>
      </c>
      <c r="C454" t="s">
        <v>995</v>
      </c>
      <c r="D454">
        <v>656157267106</v>
      </c>
      <c r="E454" t="s">
        <v>28</v>
      </c>
      <c r="F454" t="s">
        <v>29</v>
      </c>
      <c r="G454" t="s">
        <v>57</v>
      </c>
      <c r="H454" t="s">
        <v>70</v>
      </c>
      <c r="I454" t="s">
        <v>22</v>
      </c>
      <c r="J454" s="4">
        <v>26356.89</v>
      </c>
      <c r="K454" t="s">
        <v>39</v>
      </c>
      <c r="L454" s="1">
        <v>45666</v>
      </c>
      <c r="M454" t="s">
        <v>24</v>
      </c>
      <c r="N454" s="4">
        <v>306242.71000000002</v>
      </c>
      <c r="O454" t="s">
        <v>25</v>
      </c>
      <c r="P454" t="str">
        <f t="shared" si="7"/>
        <v>2025-01</v>
      </c>
    </row>
    <row r="455" spans="1:16" ht="15.75" customHeight="1" x14ac:dyDescent="0.3">
      <c r="A455" t="s">
        <v>996</v>
      </c>
      <c r="B455">
        <v>835355</v>
      </c>
      <c r="C455" t="s">
        <v>997</v>
      </c>
      <c r="D455">
        <v>536963920814</v>
      </c>
      <c r="E455" t="s">
        <v>28</v>
      </c>
      <c r="F455" t="s">
        <v>79</v>
      </c>
      <c r="G455" t="s">
        <v>57</v>
      </c>
      <c r="H455" t="s">
        <v>31</v>
      </c>
      <c r="I455" t="s">
        <v>22</v>
      </c>
      <c r="J455" s="4">
        <v>25989.27</v>
      </c>
      <c r="K455" t="s">
        <v>32</v>
      </c>
      <c r="L455" s="1">
        <v>45464</v>
      </c>
      <c r="M455" t="s">
        <v>24</v>
      </c>
      <c r="N455" s="4">
        <v>1872659.81</v>
      </c>
      <c r="O455" t="s">
        <v>25</v>
      </c>
      <c r="P455" t="str">
        <f t="shared" si="7"/>
        <v>2024-06</v>
      </c>
    </row>
    <row r="456" spans="1:16" ht="15.75" customHeight="1" x14ac:dyDescent="0.3">
      <c r="A456" t="s">
        <v>998</v>
      </c>
      <c r="B456">
        <v>504669</v>
      </c>
      <c r="C456" t="s">
        <v>999</v>
      </c>
      <c r="D456">
        <v>754422929593</v>
      </c>
      <c r="E456" t="s">
        <v>18</v>
      </c>
      <c r="F456" t="s">
        <v>87</v>
      </c>
      <c r="G456" t="s">
        <v>57</v>
      </c>
      <c r="H456" t="s">
        <v>67</v>
      </c>
      <c r="I456" t="s">
        <v>53</v>
      </c>
      <c r="J456" s="4">
        <v>25673.64</v>
      </c>
      <c r="K456" t="s">
        <v>49</v>
      </c>
      <c r="L456" s="1">
        <v>45553</v>
      </c>
      <c r="M456" t="s">
        <v>24</v>
      </c>
      <c r="N456" s="4">
        <v>2047719.1</v>
      </c>
      <c r="O456" t="s">
        <v>25</v>
      </c>
      <c r="P456" t="str">
        <f t="shared" si="7"/>
        <v>2024-09</v>
      </c>
    </row>
    <row r="457" spans="1:16" ht="15.75" customHeight="1" x14ac:dyDescent="0.3">
      <c r="A457" t="s">
        <v>1000</v>
      </c>
      <c r="B457">
        <v>473260</v>
      </c>
      <c r="C457" t="s">
        <v>1001</v>
      </c>
      <c r="D457">
        <v>304550826056</v>
      </c>
      <c r="E457" t="s">
        <v>28</v>
      </c>
      <c r="F457" t="s">
        <v>150</v>
      </c>
      <c r="G457" t="s">
        <v>57</v>
      </c>
      <c r="H457" t="s">
        <v>31</v>
      </c>
      <c r="I457" t="s">
        <v>53</v>
      </c>
      <c r="J457" s="4">
        <v>25588.29</v>
      </c>
      <c r="K457" t="s">
        <v>32</v>
      </c>
      <c r="L457" s="1">
        <v>45408</v>
      </c>
      <c r="M457" t="s">
        <v>24</v>
      </c>
      <c r="N457" s="4">
        <v>1266418.3500000001</v>
      </c>
      <c r="O457" t="s">
        <v>25</v>
      </c>
      <c r="P457" t="str">
        <f t="shared" si="7"/>
        <v>2024-04</v>
      </c>
    </row>
    <row r="458" spans="1:16" ht="15.75" customHeight="1" x14ac:dyDescent="0.3">
      <c r="A458" t="s">
        <v>1002</v>
      </c>
      <c r="B458">
        <v>295399</v>
      </c>
      <c r="C458" t="s">
        <v>1003</v>
      </c>
      <c r="D458">
        <v>841211888565</v>
      </c>
      <c r="E458" t="s">
        <v>64</v>
      </c>
      <c r="F458" t="s">
        <v>166</v>
      </c>
      <c r="G458" t="s">
        <v>57</v>
      </c>
      <c r="H458" t="s">
        <v>21</v>
      </c>
      <c r="I458" t="s">
        <v>48</v>
      </c>
      <c r="J458" s="4">
        <v>25585.29</v>
      </c>
      <c r="K458" t="s">
        <v>23</v>
      </c>
      <c r="L458" s="1">
        <v>45546</v>
      </c>
      <c r="M458" t="s">
        <v>24</v>
      </c>
      <c r="N458" s="4">
        <v>270187.18</v>
      </c>
      <c r="O458" t="s">
        <v>25</v>
      </c>
      <c r="P458" t="str">
        <f t="shared" si="7"/>
        <v>2024-09</v>
      </c>
    </row>
    <row r="459" spans="1:16" ht="15.75" customHeight="1" x14ac:dyDescent="0.3">
      <c r="A459" t="s">
        <v>1004</v>
      </c>
      <c r="B459">
        <v>334036</v>
      </c>
      <c r="C459" t="s">
        <v>1005</v>
      </c>
      <c r="D459">
        <v>537089530790</v>
      </c>
      <c r="E459" t="s">
        <v>35</v>
      </c>
      <c r="F459" t="s">
        <v>60</v>
      </c>
      <c r="G459" t="s">
        <v>57</v>
      </c>
      <c r="H459" t="s">
        <v>67</v>
      </c>
      <c r="I459" t="s">
        <v>38</v>
      </c>
      <c r="J459" s="4">
        <v>24749.02</v>
      </c>
      <c r="K459" t="s">
        <v>32</v>
      </c>
      <c r="L459" s="1">
        <v>45391</v>
      </c>
      <c r="M459" t="s">
        <v>24</v>
      </c>
      <c r="N459" s="4">
        <v>1489360.81</v>
      </c>
      <c r="O459" t="s">
        <v>25</v>
      </c>
      <c r="P459" t="str">
        <f t="shared" si="7"/>
        <v>2024-04</v>
      </c>
    </row>
    <row r="460" spans="1:16" ht="15.75" customHeight="1" x14ac:dyDescent="0.3">
      <c r="A460" t="s">
        <v>1006</v>
      </c>
      <c r="B460">
        <v>935158</v>
      </c>
      <c r="C460" t="s">
        <v>1007</v>
      </c>
      <c r="D460">
        <v>944938346542</v>
      </c>
      <c r="E460" t="s">
        <v>64</v>
      </c>
      <c r="F460" t="s">
        <v>177</v>
      </c>
      <c r="G460" t="s">
        <v>57</v>
      </c>
      <c r="H460" t="s">
        <v>70</v>
      </c>
      <c r="I460" t="s">
        <v>48</v>
      </c>
      <c r="J460" s="4">
        <v>24609.7</v>
      </c>
      <c r="K460" t="s">
        <v>98</v>
      </c>
      <c r="L460" s="1">
        <v>45624</v>
      </c>
      <c r="M460" t="s">
        <v>24</v>
      </c>
      <c r="N460" s="4">
        <v>1487795.84</v>
      </c>
      <c r="O460" t="s">
        <v>25</v>
      </c>
      <c r="P460" t="str">
        <f t="shared" si="7"/>
        <v>2024-11</v>
      </c>
    </row>
    <row r="461" spans="1:16" ht="15.75" customHeight="1" x14ac:dyDescent="0.3">
      <c r="A461" t="s">
        <v>1008</v>
      </c>
      <c r="B461">
        <v>767001</v>
      </c>
      <c r="C461" t="s">
        <v>1009</v>
      </c>
      <c r="D461">
        <v>674606333456</v>
      </c>
      <c r="E461" t="s">
        <v>64</v>
      </c>
      <c r="F461" t="s">
        <v>166</v>
      </c>
      <c r="G461" t="s">
        <v>57</v>
      </c>
      <c r="H461" t="s">
        <v>67</v>
      </c>
      <c r="I461" t="s">
        <v>22</v>
      </c>
      <c r="J461" s="4">
        <v>23309.68</v>
      </c>
      <c r="K461" t="s">
        <v>23</v>
      </c>
      <c r="L461" s="1">
        <v>45403</v>
      </c>
      <c r="M461" t="s">
        <v>24</v>
      </c>
      <c r="N461" s="4">
        <v>1173477.6299999999</v>
      </c>
      <c r="O461" t="s">
        <v>25</v>
      </c>
      <c r="P461" t="str">
        <f t="shared" si="7"/>
        <v>2024-04</v>
      </c>
    </row>
    <row r="462" spans="1:16" ht="15.75" customHeight="1" x14ac:dyDescent="0.3">
      <c r="A462" t="s">
        <v>1010</v>
      </c>
      <c r="B462">
        <v>969821</v>
      </c>
      <c r="C462" t="s">
        <v>1011</v>
      </c>
      <c r="D462">
        <v>780902409708</v>
      </c>
      <c r="E462" t="s">
        <v>35</v>
      </c>
      <c r="F462" t="s">
        <v>36</v>
      </c>
      <c r="G462" t="s">
        <v>57</v>
      </c>
      <c r="H462" t="s">
        <v>70</v>
      </c>
      <c r="I462" t="s">
        <v>38</v>
      </c>
      <c r="J462" s="4">
        <v>21877.29</v>
      </c>
      <c r="K462" t="s">
        <v>39</v>
      </c>
      <c r="L462" s="1">
        <v>45322</v>
      </c>
      <c r="M462" t="s">
        <v>24</v>
      </c>
      <c r="N462" s="4">
        <v>1849118.19</v>
      </c>
      <c r="O462" t="s">
        <v>25</v>
      </c>
      <c r="P462" t="str">
        <f t="shared" si="7"/>
        <v>2024-01</v>
      </c>
    </row>
    <row r="463" spans="1:16" ht="15.75" customHeight="1" x14ac:dyDescent="0.3">
      <c r="A463" t="s">
        <v>1012</v>
      </c>
      <c r="B463">
        <v>567678</v>
      </c>
      <c r="C463" t="s">
        <v>1013</v>
      </c>
      <c r="D463">
        <v>441180444719</v>
      </c>
      <c r="E463" t="s">
        <v>64</v>
      </c>
      <c r="F463" t="s">
        <v>65</v>
      </c>
      <c r="G463" t="s">
        <v>57</v>
      </c>
      <c r="H463" t="s">
        <v>31</v>
      </c>
      <c r="I463" t="s">
        <v>22</v>
      </c>
      <c r="J463" s="4">
        <v>21505.02</v>
      </c>
      <c r="K463" t="s">
        <v>39</v>
      </c>
      <c r="L463" s="1">
        <v>45454</v>
      </c>
      <c r="M463" t="s">
        <v>24</v>
      </c>
      <c r="N463" s="4">
        <v>1715566.76</v>
      </c>
      <c r="O463" t="s">
        <v>25</v>
      </c>
      <c r="P463" t="str">
        <f t="shared" si="7"/>
        <v>2024-06</v>
      </c>
    </row>
    <row r="464" spans="1:16" ht="15.75" customHeight="1" x14ac:dyDescent="0.3">
      <c r="A464" t="s">
        <v>1014</v>
      </c>
      <c r="B464">
        <v>689621</v>
      </c>
      <c r="C464" t="s">
        <v>1015</v>
      </c>
      <c r="D464">
        <v>996618159017</v>
      </c>
      <c r="E464" t="s">
        <v>91</v>
      </c>
      <c r="F464" t="s">
        <v>130</v>
      </c>
      <c r="G464" t="s">
        <v>57</v>
      </c>
      <c r="H464" t="s">
        <v>70</v>
      </c>
      <c r="I464" t="s">
        <v>48</v>
      </c>
      <c r="J464" s="4">
        <v>20767.88</v>
      </c>
      <c r="K464" t="s">
        <v>32</v>
      </c>
      <c r="L464" s="1">
        <v>45211</v>
      </c>
      <c r="M464" t="s">
        <v>24</v>
      </c>
      <c r="N464" s="4">
        <v>2001906.48</v>
      </c>
      <c r="O464" t="s">
        <v>25</v>
      </c>
      <c r="P464" t="str">
        <f t="shared" si="7"/>
        <v>2023-10</v>
      </c>
    </row>
    <row r="465" spans="1:16" ht="15.75" customHeight="1" x14ac:dyDescent="0.3">
      <c r="A465" t="s">
        <v>1016</v>
      </c>
      <c r="B465">
        <v>224857</v>
      </c>
      <c r="C465" t="s">
        <v>1017</v>
      </c>
      <c r="D465">
        <v>337595113221</v>
      </c>
      <c r="E465" t="s">
        <v>64</v>
      </c>
      <c r="F465" t="s">
        <v>166</v>
      </c>
      <c r="G465" t="s">
        <v>57</v>
      </c>
      <c r="H465" t="s">
        <v>31</v>
      </c>
      <c r="I465" t="s">
        <v>22</v>
      </c>
      <c r="J465" s="4">
        <v>20332.900000000001</v>
      </c>
      <c r="K465" t="s">
        <v>39</v>
      </c>
      <c r="L465" s="1">
        <v>45700</v>
      </c>
      <c r="M465" t="s">
        <v>24</v>
      </c>
      <c r="N465" s="4">
        <v>2177281.27</v>
      </c>
      <c r="O465" t="s">
        <v>25</v>
      </c>
      <c r="P465" t="str">
        <f t="shared" si="7"/>
        <v>2025-02</v>
      </c>
    </row>
    <row r="466" spans="1:16" ht="15.75" customHeight="1" x14ac:dyDescent="0.3">
      <c r="A466" t="s">
        <v>1018</v>
      </c>
      <c r="B466">
        <v>240183</v>
      </c>
      <c r="C466" t="s">
        <v>1019</v>
      </c>
      <c r="D466">
        <v>781431196996</v>
      </c>
      <c r="E466" t="s">
        <v>64</v>
      </c>
      <c r="F466" t="s">
        <v>83</v>
      </c>
      <c r="G466" t="s">
        <v>57</v>
      </c>
      <c r="H466" t="s">
        <v>70</v>
      </c>
      <c r="I466" t="s">
        <v>48</v>
      </c>
      <c r="J466" s="4">
        <v>19889.240000000002</v>
      </c>
      <c r="K466" t="s">
        <v>98</v>
      </c>
      <c r="L466" s="1">
        <v>45346</v>
      </c>
      <c r="M466" t="s">
        <v>113</v>
      </c>
      <c r="N466" s="4">
        <v>1069178.8700000001</v>
      </c>
      <c r="O466" t="s">
        <v>25</v>
      </c>
      <c r="P466" t="str">
        <f t="shared" si="7"/>
        <v>2024-02</v>
      </c>
    </row>
    <row r="467" spans="1:16" ht="15.75" customHeight="1" x14ac:dyDescent="0.3">
      <c r="A467" t="s">
        <v>1020</v>
      </c>
      <c r="B467">
        <v>187594</v>
      </c>
      <c r="C467" t="s">
        <v>1021</v>
      </c>
      <c r="D467">
        <v>670671711566</v>
      </c>
      <c r="E467" t="s">
        <v>18</v>
      </c>
      <c r="F467" t="s">
        <v>19</v>
      </c>
      <c r="G467" t="s">
        <v>217</v>
      </c>
      <c r="H467" t="s">
        <v>31</v>
      </c>
      <c r="I467" t="s">
        <v>53</v>
      </c>
      <c r="J467" s="4">
        <v>19862</v>
      </c>
      <c r="K467" t="s">
        <v>32</v>
      </c>
      <c r="L467" s="1">
        <v>45627</v>
      </c>
      <c r="M467" t="s">
        <v>24</v>
      </c>
      <c r="N467" s="4">
        <v>1221978.27</v>
      </c>
      <c r="O467" t="s">
        <v>25</v>
      </c>
      <c r="P467" t="str">
        <f t="shared" si="7"/>
        <v>2024-12</v>
      </c>
    </row>
    <row r="468" spans="1:16" ht="15.75" customHeight="1" x14ac:dyDescent="0.3">
      <c r="A468" t="s">
        <v>1022</v>
      </c>
      <c r="B468">
        <v>490738</v>
      </c>
      <c r="C468" t="s">
        <v>1023</v>
      </c>
      <c r="D468">
        <v>159475214466</v>
      </c>
      <c r="E468" t="s">
        <v>18</v>
      </c>
      <c r="F468" t="s">
        <v>156</v>
      </c>
      <c r="G468" t="s">
        <v>217</v>
      </c>
      <c r="H468" t="s">
        <v>70</v>
      </c>
      <c r="I468" t="s">
        <v>38</v>
      </c>
      <c r="J468" s="4">
        <v>17763.02</v>
      </c>
      <c r="K468" t="s">
        <v>32</v>
      </c>
      <c r="L468" s="1">
        <v>45401</v>
      </c>
      <c r="M468" t="s">
        <v>24</v>
      </c>
      <c r="N468" s="4">
        <v>1645111.59</v>
      </c>
      <c r="O468" t="s">
        <v>25</v>
      </c>
      <c r="P468" t="str">
        <f t="shared" si="7"/>
        <v>2024-04</v>
      </c>
    </row>
    <row r="469" spans="1:16" ht="15.75" customHeight="1" x14ac:dyDescent="0.3">
      <c r="A469" t="s">
        <v>1024</v>
      </c>
      <c r="B469">
        <v>186325</v>
      </c>
      <c r="C469" t="s">
        <v>1025</v>
      </c>
      <c r="D469">
        <v>760895056386</v>
      </c>
      <c r="E469" t="s">
        <v>28</v>
      </c>
      <c r="F469" t="s">
        <v>79</v>
      </c>
      <c r="G469" t="s">
        <v>217</v>
      </c>
      <c r="H469" t="s">
        <v>21</v>
      </c>
      <c r="I469" t="s">
        <v>48</v>
      </c>
      <c r="J469" s="4">
        <v>17664.689999999999</v>
      </c>
      <c r="K469" t="s">
        <v>23</v>
      </c>
      <c r="L469" s="1">
        <v>45152</v>
      </c>
      <c r="M469" t="s">
        <v>24</v>
      </c>
      <c r="N469" s="4">
        <v>1846449.16</v>
      </c>
      <c r="O469" t="s">
        <v>25</v>
      </c>
      <c r="P469" t="str">
        <f t="shared" si="7"/>
        <v>2023-08</v>
      </c>
    </row>
    <row r="470" spans="1:16" ht="15.75" customHeight="1" x14ac:dyDescent="0.3">
      <c r="A470" t="s">
        <v>1026</v>
      </c>
      <c r="B470">
        <v>441216</v>
      </c>
      <c r="C470" t="s">
        <v>1027</v>
      </c>
      <c r="D470">
        <v>384501417224</v>
      </c>
      <c r="E470" t="s">
        <v>91</v>
      </c>
      <c r="F470" t="s">
        <v>105</v>
      </c>
      <c r="G470" t="s">
        <v>217</v>
      </c>
      <c r="H470" t="s">
        <v>67</v>
      </c>
      <c r="I470" t="s">
        <v>53</v>
      </c>
      <c r="J470" s="4">
        <v>17312.52</v>
      </c>
      <c r="K470" t="s">
        <v>49</v>
      </c>
      <c r="L470" s="1">
        <v>45167</v>
      </c>
      <c r="M470" t="s">
        <v>24</v>
      </c>
      <c r="N470" s="4">
        <v>426860.72</v>
      </c>
      <c r="O470" t="s">
        <v>25</v>
      </c>
      <c r="P470" t="str">
        <f t="shared" si="7"/>
        <v>2023-08</v>
      </c>
    </row>
    <row r="471" spans="1:16" ht="15.75" customHeight="1" x14ac:dyDescent="0.3">
      <c r="A471" t="s">
        <v>1028</v>
      </c>
      <c r="B471">
        <v>415091</v>
      </c>
      <c r="C471" t="s">
        <v>1029</v>
      </c>
      <c r="D471">
        <v>582715807001</v>
      </c>
      <c r="E471" t="s">
        <v>91</v>
      </c>
      <c r="F471" t="s">
        <v>162</v>
      </c>
      <c r="G471" t="s">
        <v>217</v>
      </c>
      <c r="H471" t="s">
        <v>31</v>
      </c>
      <c r="I471" t="s">
        <v>53</v>
      </c>
      <c r="J471" s="4">
        <v>16558.98</v>
      </c>
      <c r="K471" t="s">
        <v>49</v>
      </c>
      <c r="L471" s="1">
        <v>45467</v>
      </c>
      <c r="M471" t="s">
        <v>24</v>
      </c>
      <c r="N471" s="4">
        <v>558204.13</v>
      </c>
      <c r="O471" t="s">
        <v>25</v>
      </c>
      <c r="P471" t="str">
        <f t="shared" si="7"/>
        <v>2024-06</v>
      </c>
    </row>
    <row r="472" spans="1:16" ht="15.75" customHeight="1" x14ac:dyDescent="0.3">
      <c r="A472" t="s">
        <v>1030</v>
      </c>
      <c r="B472">
        <v>647451</v>
      </c>
      <c r="C472" t="s">
        <v>1031</v>
      </c>
      <c r="D472">
        <v>908575564799</v>
      </c>
      <c r="E472" t="s">
        <v>28</v>
      </c>
      <c r="F472" t="s">
        <v>79</v>
      </c>
      <c r="G472" t="s">
        <v>217</v>
      </c>
      <c r="H472" t="s">
        <v>67</v>
      </c>
      <c r="I472" t="s">
        <v>53</v>
      </c>
      <c r="J472" s="4">
        <v>16012.31</v>
      </c>
      <c r="K472" t="s">
        <v>49</v>
      </c>
      <c r="L472" s="1">
        <v>45698</v>
      </c>
      <c r="M472" t="s">
        <v>113</v>
      </c>
      <c r="N472" s="4">
        <v>1570752.15</v>
      </c>
      <c r="O472" t="s">
        <v>25</v>
      </c>
      <c r="P472" t="str">
        <f t="shared" si="7"/>
        <v>2025-02</v>
      </c>
    </row>
    <row r="473" spans="1:16" ht="15.75" customHeight="1" x14ac:dyDescent="0.3">
      <c r="A473" t="s">
        <v>1032</v>
      </c>
      <c r="B473">
        <v>313682</v>
      </c>
      <c r="C473" t="s">
        <v>1033</v>
      </c>
      <c r="D473">
        <v>975793031886</v>
      </c>
      <c r="E473" t="s">
        <v>35</v>
      </c>
      <c r="F473" t="s">
        <v>36</v>
      </c>
      <c r="G473" t="s">
        <v>217</v>
      </c>
      <c r="H473" t="s">
        <v>70</v>
      </c>
      <c r="I473" t="s">
        <v>53</v>
      </c>
      <c r="J473" s="4">
        <v>15732.38</v>
      </c>
      <c r="K473" t="s">
        <v>49</v>
      </c>
      <c r="L473" s="1">
        <v>45521</v>
      </c>
      <c r="M473" t="s">
        <v>24</v>
      </c>
      <c r="N473" s="4">
        <v>481839.38</v>
      </c>
      <c r="O473" t="s">
        <v>25</v>
      </c>
      <c r="P473" t="str">
        <f t="shared" si="7"/>
        <v>2024-08</v>
      </c>
    </row>
    <row r="474" spans="1:16" ht="15.75" customHeight="1" x14ac:dyDescent="0.3">
      <c r="A474" t="s">
        <v>1034</v>
      </c>
      <c r="B474">
        <v>896301</v>
      </c>
      <c r="C474" t="s">
        <v>1035</v>
      </c>
      <c r="D474">
        <v>434355404660</v>
      </c>
      <c r="E474" t="s">
        <v>91</v>
      </c>
      <c r="F474" t="s">
        <v>109</v>
      </c>
      <c r="G474" t="s">
        <v>217</v>
      </c>
      <c r="H474" t="s">
        <v>31</v>
      </c>
      <c r="I474" t="s">
        <v>53</v>
      </c>
      <c r="J474" s="4">
        <v>15483.43</v>
      </c>
      <c r="K474" t="s">
        <v>49</v>
      </c>
      <c r="L474" s="1">
        <v>45724</v>
      </c>
      <c r="M474" t="s">
        <v>24</v>
      </c>
      <c r="N474" s="4">
        <v>1677551.8</v>
      </c>
      <c r="O474" t="s">
        <v>25</v>
      </c>
      <c r="P474" t="str">
        <f t="shared" si="7"/>
        <v>2025-03</v>
      </c>
    </row>
    <row r="475" spans="1:16" ht="15.75" customHeight="1" x14ac:dyDescent="0.3">
      <c r="A475" t="s">
        <v>1036</v>
      </c>
      <c r="B475">
        <v>675784</v>
      </c>
      <c r="C475" t="s">
        <v>1037</v>
      </c>
      <c r="D475">
        <v>788941069391</v>
      </c>
      <c r="E475" t="s">
        <v>18</v>
      </c>
      <c r="F475" t="s">
        <v>87</v>
      </c>
      <c r="G475" t="s">
        <v>217</v>
      </c>
      <c r="H475" t="s">
        <v>21</v>
      </c>
      <c r="I475" t="s">
        <v>38</v>
      </c>
      <c r="J475" s="4">
        <v>15002.6</v>
      </c>
      <c r="K475" t="s">
        <v>98</v>
      </c>
      <c r="L475" s="1">
        <v>45639</v>
      </c>
      <c r="M475" t="s">
        <v>24</v>
      </c>
      <c r="N475" s="4">
        <v>102204.71</v>
      </c>
      <c r="O475" t="s">
        <v>25</v>
      </c>
      <c r="P475" t="str">
        <f t="shared" si="7"/>
        <v>2024-12</v>
      </c>
    </row>
    <row r="476" spans="1:16" ht="15.75" customHeight="1" x14ac:dyDescent="0.3">
      <c r="A476" t="s">
        <v>1038</v>
      </c>
      <c r="B476">
        <v>555371</v>
      </c>
      <c r="C476" t="s">
        <v>1039</v>
      </c>
      <c r="D476">
        <v>229471966150</v>
      </c>
      <c r="E476" t="s">
        <v>35</v>
      </c>
      <c r="F476" t="s">
        <v>73</v>
      </c>
      <c r="G476" t="s">
        <v>217</v>
      </c>
      <c r="H476" t="s">
        <v>70</v>
      </c>
      <c r="I476" t="s">
        <v>38</v>
      </c>
      <c r="J476" s="4">
        <v>13739.75</v>
      </c>
      <c r="K476" t="s">
        <v>39</v>
      </c>
      <c r="L476" s="1">
        <v>45260</v>
      </c>
      <c r="M476" t="s">
        <v>24</v>
      </c>
      <c r="N476" s="4">
        <v>1906817.37</v>
      </c>
      <c r="O476" t="s">
        <v>25</v>
      </c>
      <c r="P476" t="str">
        <f t="shared" si="7"/>
        <v>2023-11</v>
      </c>
    </row>
    <row r="477" spans="1:16" ht="15.75" customHeight="1" x14ac:dyDescent="0.3">
      <c r="A477" t="s">
        <v>1040</v>
      </c>
      <c r="B477">
        <v>718015</v>
      </c>
      <c r="C477" t="s">
        <v>1041</v>
      </c>
      <c r="D477">
        <v>312934784546</v>
      </c>
      <c r="E477" t="s">
        <v>35</v>
      </c>
      <c r="F477" t="s">
        <v>73</v>
      </c>
      <c r="G477" t="s">
        <v>217</v>
      </c>
      <c r="H477" t="s">
        <v>31</v>
      </c>
      <c r="I477" t="s">
        <v>53</v>
      </c>
      <c r="J477" s="4">
        <v>13160.06</v>
      </c>
      <c r="K477" t="s">
        <v>98</v>
      </c>
      <c r="L477" s="1">
        <v>45470</v>
      </c>
      <c r="M477" t="s">
        <v>24</v>
      </c>
      <c r="N477" s="4">
        <v>1284948.74</v>
      </c>
      <c r="O477" t="s">
        <v>25</v>
      </c>
      <c r="P477" t="str">
        <f t="shared" si="7"/>
        <v>2024-06</v>
      </c>
    </row>
    <row r="478" spans="1:16" ht="15.75" customHeight="1" x14ac:dyDescent="0.3">
      <c r="A478" t="s">
        <v>1042</v>
      </c>
      <c r="B478">
        <v>303217</v>
      </c>
      <c r="C478" t="s">
        <v>1043</v>
      </c>
      <c r="D478">
        <v>628667719492</v>
      </c>
      <c r="E478" t="s">
        <v>64</v>
      </c>
      <c r="F478" t="s">
        <v>177</v>
      </c>
      <c r="G478" t="s">
        <v>217</v>
      </c>
      <c r="H478" t="s">
        <v>21</v>
      </c>
      <c r="I478" t="s">
        <v>53</v>
      </c>
      <c r="J478" s="4">
        <v>12223.36</v>
      </c>
      <c r="K478" t="s">
        <v>32</v>
      </c>
      <c r="L478" s="1">
        <v>45122</v>
      </c>
      <c r="M478" t="s">
        <v>24</v>
      </c>
      <c r="N478" s="4">
        <v>1386616.39</v>
      </c>
      <c r="O478" t="s">
        <v>25</v>
      </c>
      <c r="P478" t="str">
        <f t="shared" si="7"/>
        <v>2023-07</v>
      </c>
    </row>
    <row r="479" spans="1:16" ht="15.75" customHeight="1" x14ac:dyDescent="0.3">
      <c r="A479" t="s">
        <v>1044</v>
      </c>
      <c r="B479">
        <v>946247</v>
      </c>
      <c r="C479" t="s">
        <v>1045</v>
      </c>
      <c r="D479">
        <v>800614144292</v>
      </c>
      <c r="E479" t="s">
        <v>35</v>
      </c>
      <c r="F479" t="s">
        <v>36</v>
      </c>
      <c r="G479" t="s">
        <v>217</v>
      </c>
      <c r="H479" t="s">
        <v>67</v>
      </c>
      <c r="I479" t="s">
        <v>53</v>
      </c>
      <c r="J479" s="4">
        <v>12025.06</v>
      </c>
      <c r="K479" t="s">
        <v>49</v>
      </c>
      <c r="L479" s="1">
        <v>45268</v>
      </c>
      <c r="M479" t="s">
        <v>24</v>
      </c>
      <c r="N479" s="4">
        <v>2036998.71</v>
      </c>
      <c r="O479" t="s">
        <v>25</v>
      </c>
      <c r="P479" t="str">
        <f t="shared" si="7"/>
        <v>2023-12</v>
      </c>
    </row>
    <row r="480" spans="1:16" ht="15.75" customHeight="1" x14ac:dyDescent="0.3">
      <c r="A480" t="s">
        <v>1046</v>
      </c>
      <c r="B480">
        <v>613463</v>
      </c>
      <c r="C480" t="s">
        <v>1047</v>
      </c>
      <c r="D480">
        <v>350731897846</v>
      </c>
      <c r="E480" t="s">
        <v>18</v>
      </c>
      <c r="F480" t="s">
        <v>19</v>
      </c>
      <c r="G480" t="s">
        <v>217</v>
      </c>
      <c r="H480" t="s">
        <v>21</v>
      </c>
      <c r="I480" t="s">
        <v>53</v>
      </c>
      <c r="J480" s="4">
        <v>11969.71</v>
      </c>
      <c r="K480" t="s">
        <v>39</v>
      </c>
      <c r="L480" s="1">
        <v>45607</v>
      </c>
      <c r="M480" t="s">
        <v>168</v>
      </c>
      <c r="N480" s="4">
        <v>333007.69</v>
      </c>
      <c r="O480" t="s">
        <v>25</v>
      </c>
      <c r="P480" t="str">
        <f t="shared" si="7"/>
        <v>2024-11</v>
      </c>
    </row>
    <row r="481" spans="1:16" ht="15.75" customHeight="1" x14ac:dyDescent="0.3">
      <c r="A481" t="s">
        <v>1048</v>
      </c>
      <c r="B481">
        <v>153582</v>
      </c>
      <c r="C481" t="s">
        <v>1049</v>
      </c>
      <c r="D481">
        <v>830198079057</v>
      </c>
      <c r="E481" t="s">
        <v>91</v>
      </c>
      <c r="F481" t="s">
        <v>92</v>
      </c>
      <c r="G481" t="s">
        <v>61</v>
      </c>
      <c r="H481" t="s">
        <v>70</v>
      </c>
      <c r="I481" t="s">
        <v>48</v>
      </c>
      <c r="J481" s="4">
        <v>11528.19</v>
      </c>
      <c r="K481" t="s">
        <v>32</v>
      </c>
      <c r="L481" s="1">
        <v>45560</v>
      </c>
      <c r="M481" t="s">
        <v>50</v>
      </c>
      <c r="N481" s="4">
        <v>778782.49</v>
      </c>
      <c r="O481" t="s">
        <v>25</v>
      </c>
      <c r="P481" t="str">
        <f t="shared" si="7"/>
        <v>2024-09</v>
      </c>
    </row>
    <row r="482" spans="1:16" ht="15.75" customHeight="1" x14ac:dyDescent="0.3">
      <c r="A482" t="s">
        <v>1050</v>
      </c>
      <c r="B482">
        <v>100803</v>
      </c>
      <c r="C482" t="s">
        <v>1051</v>
      </c>
      <c r="D482">
        <v>343430050066</v>
      </c>
      <c r="E482" t="s">
        <v>18</v>
      </c>
      <c r="F482" t="s">
        <v>19</v>
      </c>
      <c r="G482" t="s">
        <v>61</v>
      </c>
      <c r="H482" t="s">
        <v>21</v>
      </c>
      <c r="I482" t="s">
        <v>48</v>
      </c>
      <c r="J482" s="4">
        <v>10454.32</v>
      </c>
      <c r="K482" t="s">
        <v>39</v>
      </c>
      <c r="L482" s="1">
        <v>45181</v>
      </c>
      <c r="M482" t="s">
        <v>24</v>
      </c>
      <c r="N482" s="4">
        <v>536358.44999999995</v>
      </c>
      <c r="O482" t="s">
        <v>25</v>
      </c>
      <c r="P482" t="str">
        <f t="shared" si="7"/>
        <v>2023-09</v>
      </c>
    </row>
    <row r="483" spans="1:16" ht="15.75" customHeight="1" x14ac:dyDescent="0.3">
      <c r="A483" t="s">
        <v>1052</v>
      </c>
      <c r="B483">
        <v>520243</v>
      </c>
      <c r="C483" t="s">
        <v>1053</v>
      </c>
      <c r="D483">
        <v>340851237938</v>
      </c>
      <c r="E483" t="s">
        <v>28</v>
      </c>
      <c r="F483" t="s">
        <v>150</v>
      </c>
      <c r="G483" t="s">
        <v>61</v>
      </c>
      <c r="H483" t="s">
        <v>31</v>
      </c>
      <c r="I483" t="s">
        <v>22</v>
      </c>
      <c r="J483" s="4">
        <v>10220.280000000001</v>
      </c>
      <c r="K483" t="s">
        <v>39</v>
      </c>
      <c r="L483" s="1">
        <v>45825</v>
      </c>
      <c r="M483" t="s">
        <v>24</v>
      </c>
      <c r="N483" s="4">
        <v>1461132.13</v>
      </c>
      <c r="O483" t="s">
        <v>25</v>
      </c>
      <c r="P483" t="str">
        <f t="shared" si="7"/>
        <v>2025-06</v>
      </c>
    </row>
    <row r="484" spans="1:16" ht="15.75" customHeight="1" x14ac:dyDescent="0.3">
      <c r="A484" t="s">
        <v>1054</v>
      </c>
      <c r="B484">
        <v>314894</v>
      </c>
      <c r="C484" t="s">
        <v>1055</v>
      </c>
      <c r="D484">
        <v>751158319736</v>
      </c>
      <c r="E484" t="s">
        <v>64</v>
      </c>
      <c r="F484" t="s">
        <v>177</v>
      </c>
      <c r="G484" t="s">
        <v>61</v>
      </c>
      <c r="H484" t="s">
        <v>67</v>
      </c>
      <c r="I484" t="s">
        <v>48</v>
      </c>
      <c r="J484" s="4">
        <v>10185.450000000001</v>
      </c>
      <c r="K484" t="s">
        <v>32</v>
      </c>
      <c r="L484" s="1">
        <v>45185</v>
      </c>
      <c r="M484" t="s">
        <v>24</v>
      </c>
      <c r="N484" s="4">
        <v>275353.39</v>
      </c>
      <c r="O484" t="s">
        <v>25</v>
      </c>
      <c r="P484" t="str">
        <f t="shared" si="7"/>
        <v>2023-09</v>
      </c>
    </row>
    <row r="485" spans="1:16" ht="15.75" customHeight="1" x14ac:dyDescent="0.3">
      <c r="A485" t="s">
        <v>1056</v>
      </c>
      <c r="B485">
        <v>779817</v>
      </c>
      <c r="C485" t="s">
        <v>1057</v>
      </c>
      <c r="D485">
        <v>549818142528</v>
      </c>
      <c r="E485" t="s">
        <v>18</v>
      </c>
      <c r="F485" t="s">
        <v>46</v>
      </c>
      <c r="G485" t="s">
        <v>61</v>
      </c>
      <c r="H485" t="s">
        <v>21</v>
      </c>
      <c r="I485" t="s">
        <v>22</v>
      </c>
      <c r="J485" s="4">
        <v>9274.36</v>
      </c>
      <c r="K485" t="s">
        <v>39</v>
      </c>
      <c r="L485" s="1">
        <v>45624</v>
      </c>
      <c r="M485" t="s">
        <v>50</v>
      </c>
      <c r="N485" s="4">
        <v>1452499.81</v>
      </c>
      <c r="O485" t="s">
        <v>25</v>
      </c>
      <c r="P485" t="str">
        <f t="shared" si="7"/>
        <v>2024-11</v>
      </c>
    </row>
    <row r="486" spans="1:16" ht="15.75" customHeight="1" x14ac:dyDescent="0.3">
      <c r="A486" t="s">
        <v>1058</v>
      </c>
      <c r="B486">
        <v>682271</v>
      </c>
      <c r="C486" t="s">
        <v>1059</v>
      </c>
      <c r="D486">
        <v>911510411130</v>
      </c>
      <c r="E486" t="s">
        <v>18</v>
      </c>
      <c r="F486" t="s">
        <v>156</v>
      </c>
      <c r="G486" t="s">
        <v>61</v>
      </c>
      <c r="H486" t="s">
        <v>70</v>
      </c>
      <c r="I486" t="s">
        <v>22</v>
      </c>
      <c r="J486" s="4">
        <v>7769.1</v>
      </c>
      <c r="K486" t="s">
        <v>98</v>
      </c>
      <c r="L486" s="1">
        <v>45699</v>
      </c>
      <c r="M486" t="s">
        <v>24</v>
      </c>
      <c r="N486" s="4">
        <v>893133.07</v>
      </c>
      <c r="O486" t="s">
        <v>25</v>
      </c>
      <c r="P486" t="str">
        <f t="shared" si="7"/>
        <v>2025-02</v>
      </c>
    </row>
    <row r="487" spans="1:16" ht="15.75" customHeight="1" x14ac:dyDescent="0.3">
      <c r="A487" t="s">
        <v>1060</v>
      </c>
      <c r="B487">
        <v>132455</v>
      </c>
      <c r="C487" t="s">
        <v>1061</v>
      </c>
      <c r="D487">
        <v>378333556205</v>
      </c>
      <c r="E487" t="s">
        <v>91</v>
      </c>
      <c r="F487" t="s">
        <v>162</v>
      </c>
      <c r="G487" t="s">
        <v>61</v>
      </c>
      <c r="H487" t="s">
        <v>70</v>
      </c>
      <c r="I487" t="s">
        <v>38</v>
      </c>
      <c r="J487" s="4">
        <v>7697.03</v>
      </c>
      <c r="K487" t="s">
        <v>49</v>
      </c>
      <c r="L487" s="1">
        <v>45438</v>
      </c>
      <c r="M487" t="s">
        <v>24</v>
      </c>
      <c r="N487" s="4">
        <v>1288147.47</v>
      </c>
      <c r="O487" t="s">
        <v>25</v>
      </c>
      <c r="P487" t="str">
        <f t="shared" si="7"/>
        <v>2024-05</v>
      </c>
    </row>
    <row r="488" spans="1:16" ht="15.75" customHeight="1" x14ac:dyDescent="0.3">
      <c r="A488" t="s">
        <v>1062</v>
      </c>
      <c r="B488">
        <v>568353</v>
      </c>
      <c r="C488" t="s">
        <v>1063</v>
      </c>
      <c r="D488">
        <v>143654336794</v>
      </c>
      <c r="E488" t="s">
        <v>64</v>
      </c>
      <c r="F488" t="s">
        <v>146</v>
      </c>
      <c r="G488" t="s">
        <v>61</v>
      </c>
      <c r="H488" t="s">
        <v>31</v>
      </c>
      <c r="I488" t="s">
        <v>22</v>
      </c>
      <c r="J488" s="4">
        <v>7625.81</v>
      </c>
      <c r="K488" t="s">
        <v>49</v>
      </c>
      <c r="L488" s="1">
        <v>45207</v>
      </c>
      <c r="M488" t="s">
        <v>168</v>
      </c>
      <c r="N488" s="4">
        <v>868558.72</v>
      </c>
      <c r="O488" t="s">
        <v>25</v>
      </c>
      <c r="P488" t="str">
        <f t="shared" si="7"/>
        <v>2023-10</v>
      </c>
    </row>
    <row r="489" spans="1:16" ht="15.75" customHeight="1" x14ac:dyDescent="0.3">
      <c r="A489" t="s">
        <v>1064</v>
      </c>
      <c r="B489">
        <v>802444</v>
      </c>
      <c r="C489" t="s">
        <v>1065</v>
      </c>
      <c r="D489">
        <v>582762750258</v>
      </c>
      <c r="E489" t="s">
        <v>28</v>
      </c>
      <c r="F489" t="s">
        <v>192</v>
      </c>
      <c r="G489" t="s">
        <v>61</v>
      </c>
      <c r="H489" t="s">
        <v>67</v>
      </c>
      <c r="I489" t="s">
        <v>38</v>
      </c>
      <c r="J489" s="4">
        <v>7411.04</v>
      </c>
      <c r="K489" t="s">
        <v>23</v>
      </c>
      <c r="L489" s="1">
        <v>45587</v>
      </c>
      <c r="M489" t="s">
        <v>24</v>
      </c>
      <c r="N489" s="4">
        <v>1843493.98</v>
      </c>
      <c r="O489" t="s">
        <v>25</v>
      </c>
      <c r="P489" t="str">
        <f t="shared" si="7"/>
        <v>2024-10</v>
      </c>
    </row>
    <row r="490" spans="1:16" ht="15.75" customHeight="1" x14ac:dyDescent="0.3">
      <c r="A490" t="s">
        <v>1066</v>
      </c>
      <c r="B490">
        <v>978548</v>
      </c>
      <c r="C490" t="s">
        <v>1067</v>
      </c>
      <c r="D490">
        <v>331032149981</v>
      </c>
      <c r="E490" t="s">
        <v>64</v>
      </c>
      <c r="F490" t="s">
        <v>83</v>
      </c>
      <c r="G490" t="s">
        <v>61</v>
      </c>
      <c r="H490" t="s">
        <v>67</v>
      </c>
      <c r="I490" t="s">
        <v>22</v>
      </c>
      <c r="J490" s="4">
        <v>6580.59</v>
      </c>
      <c r="K490" t="s">
        <v>98</v>
      </c>
      <c r="L490" s="1">
        <v>45670</v>
      </c>
      <c r="M490" t="s">
        <v>24</v>
      </c>
      <c r="N490" s="4">
        <v>322201.67</v>
      </c>
      <c r="O490" t="s">
        <v>25</v>
      </c>
      <c r="P490" t="str">
        <f t="shared" si="7"/>
        <v>2025-01</v>
      </c>
    </row>
    <row r="491" spans="1:16" ht="15.75" customHeight="1" x14ac:dyDescent="0.3">
      <c r="A491" t="s">
        <v>1068</v>
      </c>
      <c r="B491">
        <v>851257</v>
      </c>
      <c r="C491" t="s">
        <v>1069</v>
      </c>
      <c r="D491">
        <v>990997552935</v>
      </c>
      <c r="E491" t="s">
        <v>35</v>
      </c>
      <c r="F491" t="s">
        <v>73</v>
      </c>
      <c r="G491" t="s">
        <v>61</v>
      </c>
      <c r="H491" t="s">
        <v>70</v>
      </c>
      <c r="I491" t="s">
        <v>53</v>
      </c>
      <c r="J491" s="4">
        <v>6574.26</v>
      </c>
      <c r="K491" t="s">
        <v>23</v>
      </c>
      <c r="L491" s="1">
        <v>45164</v>
      </c>
      <c r="M491" t="s">
        <v>24</v>
      </c>
      <c r="N491" s="4">
        <v>884872.35</v>
      </c>
      <c r="O491" t="s">
        <v>25</v>
      </c>
      <c r="P491" t="str">
        <f t="shared" si="7"/>
        <v>2023-08</v>
      </c>
    </row>
    <row r="492" spans="1:16" ht="15.75" customHeight="1" x14ac:dyDescent="0.3">
      <c r="A492" t="s">
        <v>1070</v>
      </c>
      <c r="B492">
        <v>795373</v>
      </c>
      <c r="C492" t="s">
        <v>1071</v>
      </c>
      <c r="D492">
        <v>289850951999</v>
      </c>
      <c r="E492" t="s">
        <v>28</v>
      </c>
      <c r="F492" t="s">
        <v>79</v>
      </c>
      <c r="G492" t="s">
        <v>61</v>
      </c>
      <c r="H492" t="s">
        <v>31</v>
      </c>
      <c r="I492" t="s">
        <v>48</v>
      </c>
      <c r="J492" s="4">
        <v>6453.41</v>
      </c>
      <c r="K492" t="s">
        <v>49</v>
      </c>
      <c r="L492" s="1">
        <v>45680</v>
      </c>
      <c r="M492" t="s">
        <v>24</v>
      </c>
      <c r="N492" s="4">
        <v>669999.41</v>
      </c>
      <c r="O492" t="s">
        <v>25</v>
      </c>
      <c r="P492" t="str">
        <f t="shared" si="7"/>
        <v>2025-01</v>
      </c>
    </row>
    <row r="493" spans="1:16" ht="15.75" customHeight="1" x14ac:dyDescent="0.3">
      <c r="A493" t="s">
        <v>1072</v>
      </c>
      <c r="B493">
        <v>117914</v>
      </c>
      <c r="C493" t="s">
        <v>1073</v>
      </c>
      <c r="D493">
        <v>764425244728</v>
      </c>
      <c r="E493" t="s">
        <v>18</v>
      </c>
      <c r="F493" t="s">
        <v>56</v>
      </c>
      <c r="G493" t="s">
        <v>61</v>
      </c>
      <c r="H493" t="s">
        <v>31</v>
      </c>
      <c r="I493" t="s">
        <v>38</v>
      </c>
      <c r="J493" s="4">
        <v>5600</v>
      </c>
      <c r="K493" t="s">
        <v>98</v>
      </c>
      <c r="L493" s="1">
        <v>45303</v>
      </c>
      <c r="M493" t="s">
        <v>24</v>
      </c>
      <c r="N493" s="4">
        <v>1219596.98</v>
      </c>
      <c r="O493" t="s">
        <v>25</v>
      </c>
      <c r="P493" t="str">
        <f t="shared" si="7"/>
        <v>2024-01</v>
      </c>
    </row>
    <row r="494" spans="1:16" ht="15.75" customHeight="1" x14ac:dyDescent="0.3">
      <c r="A494" t="s">
        <v>1074</v>
      </c>
      <c r="B494">
        <v>648879</v>
      </c>
      <c r="C494" t="s">
        <v>1075</v>
      </c>
      <c r="D494">
        <v>504085367461</v>
      </c>
      <c r="E494" t="s">
        <v>91</v>
      </c>
      <c r="F494" t="s">
        <v>92</v>
      </c>
      <c r="G494" t="s">
        <v>61</v>
      </c>
      <c r="H494" t="s">
        <v>67</v>
      </c>
      <c r="I494" t="s">
        <v>53</v>
      </c>
      <c r="J494" s="4">
        <v>5467.69</v>
      </c>
      <c r="K494" t="s">
        <v>39</v>
      </c>
      <c r="L494" s="1">
        <v>45256</v>
      </c>
      <c r="M494" t="s">
        <v>113</v>
      </c>
      <c r="N494" s="4">
        <v>917029.60000000009</v>
      </c>
      <c r="O494" t="s">
        <v>25</v>
      </c>
      <c r="P494" t="str">
        <f t="shared" si="7"/>
        <v>2023-11</v>
      </c>
    </row>
    <row r="495" spans="1:16" ht="15.75" customHeight="1" x14ac:dyDescent="0.3">
      <c r="A495" t="s">
        <v>1076</v>
      </c>
      <c r="B495">
        <v>128077</v>
      </c>
      <c r="C495" t="s">
        <v>1077</v>
      </c>
      <c r="D495">
        <v>252386211751</v>
      </c>
      <c r="E495" t="s">
        <v>28</v>
      </c>
      <c r="F495" t="s">
        <v>192</v>
      </c>
      <c r="G495" t="s">
        <v>61</v>
      </c>
      <c r="H495" t="s">
        <v>70</v>
      </c>
      <c r="I495" t="s">
        <v>48</v>
      </c>
      <c r="J495" s="4">
        <v>4845.92</v>
      </c>
      <c r="K495" t="s">
        <v>23</v>
      </c>
      <c r="L495" s="1">
        <v>45150</v>
      </c>
      <c r="M495" t="s">
        <v>24</v>
      </c>
      <c r="N495" s="4">
        <v>2051395.59</v>
      </c>
      <c r="O495" t="s">
        <v>25</v>
      </c>
      <c r="P495" t="str">
        <f t="shared" si="7"/>
        <v>2023-08</v>
      </c>
    </row>
    <row r="496" spans="1:16" ht="15.75" customHeight="1" x14ac:dyDescent="0.3">
      <c r="A496" t="s">
        <v>1078</v>
      </c>
      <c r="B496">
        <v>882387</v>
      </c>
      <c r="C496" t="s">
        <v>1079</v>
      </c>
      <c r="D496">
        <v>732722911089</v>
      </c>
      <c r="E496" t="s">
        <v>35</v>
      </c>
      <c r="F496" t="s">
        <v>42</v>
      </c>
      <c r="G496" t="s">
        <v>61</v>
      </c>
      <c r="H496" t="s">
        <v>21</v>
      </c>
      <c r="I496" t="s">
        <v>48</v>
      </c>
      <c r="J496" s="4">
        <v>4495.21</v>
      </c>
      <c r="K496" t="s">
        <v>98</v>
      </c>
      <c r="L496" s="1">
        <v>45597</v>
      </c>
      <c r="M496" t="s">
        <v>168</v>
      </c>
      <c r="N496" s="4">
        <v>1627631.54</v>
      </c>
      <c r="O496" t="s">
        <v>25</v>
      </c>
      <c r="P496" t="str">
        <f t="shared" si="7"/>
        <v>2024-11</v>
      </c>
    </row>
    <row r="497" spans="1:16" ht="15.75" customHeight="1" x14ac:dyDescent="0.3">
      <c r="A497" t="s">
        <v>1080</v>
      </c>
      <c r="B497">
        <v>372576</v>
      </c>
      <c r="C497" t="s">
        <v>1081</v>
      </c>
      <c r="D497">
        <v>450052315274</v>
      </c>
      <c r="E497" t="s">
        <v>64</v>
      </c>
      <c r="F497" t="s">
        <v>83</v>
      </c>
      <c r="G497" t="s">
        <v>61</v>
      </c>
      <c r="H497" t="s">
        <v>31</v>
      </c>
      <c r="I497" t="s">
        <v>48</v>
      </c>
      <c r="J497" s="4">
        <v>4390.57</v>
      </c>
      <c r="K497" t="s">
        <v>32</v>
      </c>
      <c r="L497" s="1">
        <v>45422</v>
      </c>
      <c r="M497" t="s">
        <v>113</v>
      </c>
      <c r="N497" s="4">
        <v>1116498.8999999999</v>
      </c>
      <c r="O497" t="s">
        <v>25</v>
      </c>
      <c r="P497" t="str">
        <f t="shared" si="7"/>
        <v>2024-05</v>
      </c>
    </row>
    <row r="498" spans="1:16" ht="15.75" customHeight="1" x14ac:dyDescent="0.3">
      <c r="A498" t="s">
        <v>1082</v>
      </c>
      <c r="B498">
        <v>973339</v>
      </c>
      <c r="C498" t="s">
        <v>1083</v>
      </c>
      <c r="D498">
        <v>617919454254</v>
      </c>
      <c r="E498" t="s">
        <v>35</v>
      </c>
      <c r="F498" t="s">
        <v>60</v>
      </c>
      <c r="G498" t="s">
        <v>61</v>
      </c>
      <c r="H498" t="s">
        <v>31</v>
      </c>
      <c r="I498" t="s">
        <v>38</v>
      </c>
      <c r="J498" s="4">
        <v>2685.68</v>
      </c>
      <c r="K498" t="s">
        <v>49</v>
      </c>
      <c r="L498" s="1">
        <v>45323</v>
      </c>
      <c r="M498" t="s">
        <v>24</v>
      </c>
      <c r="N498" s="4">
        <v>1652562.49</v>
      </c>
      <c r="O498" t="s">
        <v>25</v>
      </c>
      <c r="P498" t="str">
        <f t="shared" si="7"/>
        <v>2024-02</v>
      </c>
    </row>
    <row r="499" spans="1:16" ht="15.75" customHeight="1" x14ac:dyDescent="0.3">
      <c r="A499" t="s">
        <v>1084</v>
      </c>
      <c r="B499">
        <v>227576</v>
      </c>
      <c r="C499" t="s">
        <v>1085</v>
      </c>
      <c r="D499">
        <v>369866165241</v>
      </c>
      <c r="E499" t="s">
        <v>64</v>
      </c>
      <c r="F499" t="s">
        <v>65</v>
      </c>
      <c r="G499" t="s">
        <v>61</v>
      </c>
      <c r="H499" t="s">
        <v>21</v>
      </c>
      <c r="I499" t="s">
        <v>22</v>
      </c>
      <c r="J499" s="4">
        <v>2142.71</v>
      </c>
      <c r="K499" t="s">
        <v>98</v>
      </c>
      <c r="L499" s="1">
        <v>45407</v>
      </c>
      <c r="M499" t="s">
        <v>24</v>
      </c>
      <c r="N499" s="4">
        <v>448240.99</v>
      </c>
      <c r="O499" t="s">
        <v>25</v>
      </c>
      <c r="P499" t="str">
        <f t="shared" si="7"/>
        <v>2024-04</v>
      </c>
    </row>
    <row r="500" spans="1:16" ht="15.75" customHeight="1" x14ac:dyDescent="0.3">
      <c r="A500" t="s">
        <v>1086</v>
      </c>
      <c r="B500">
        <v>209976</v>
      </c>
      <c r="C500" t="s">
        <v>1087</v>
      </c>
      <c r="D500">
        <v>238320682537</v>
      </c>
      <c r="E500" t="s">
        <v>64</v>
      </c>
      <c r="F500" t="s">
        <v>83</v>
      </c>
      <c r="G500" t="s">
        <v>61</v>
      </c>
      <c r="H500" t="s">
        <v>67</v>
      </c>
      <c r="I500" t="s">
        <v>53</v>
      </c>
      <c r="J500" s="4">
        <v>2034.23</v>
      </c>
      <c r="K500" t="s">
        <v>49</v>
      </c>
      <c r="L500" s="1">
        <v>45535</v>
      </c>
      <c r="M500" t="s">
        <v>24</v>
      </c>
      <c r="N500" s="4">
        <v>1012522.46</v>
      </c>
      <c r="O500" t="s">
        <v>25</v>
      </c>
      <c r="P500" t="str">
        <f t="shared" si="7"/>
        <v>2024-08</v>
      </c>
    </row>
    <row r="501" spans="1:16" ht="15.75" customHeight="1" x14ac:dyDescent="0.3">
      <c r="A501" t="s">
        <v>1088</v>
      </c>
      <c r="B501">
        <v>429704</v>
      </c>
      <c r="C501" t="s">
        <v>1089</v>
      </c>
      <c r="D501">
        <v>127631697094</v>
      </c>
      <c r="E501" t="s">
        <v>18</v>
      </c>
      <c r="F501" t="s">
        <v>156</v>
      </c>
      <c r="G501" t="s">
        <v>61</v>
      </c>
      <c r="H501" t="s">
        <v>67</v>
      </c>
      <c r="I501" t="s">
        <v>48</v>
      </c>
      <c r="J501" s="4">
        <v>1553.42</v>
      </c>
      <c r="K501" t="s">
        <v>39</v>
      </c>
      <c r="L501" s="1">
        <v>45842</v>
      </c>
      <c r="M501" t="s">
        <v>24</v>
      </c>
      <c r="N501" s="4">
        <v>1217164.3999999999</v>
      </c>
      <c r="O501" t="s">
        <v>25</v>
      </c>
      <c r="P501" t="str">
        <f t="shared" si="7"/>
        <v>2025-07</v>
      </c>
    </row>
    <row r="502" spans="1:16" ht="15.75" customHeight="1" x14ac:dyDescent="0.3"/>
    <row r="503" spans="1:16" ht="15.75" customHeight="1" x14ac:dyDescent="0.3"/>
    <row r="504" spans="1:16" ht="15.75" customHeight="1" x14ac:dyDescent="0.3"/>
    <row r="505" spans="1:16" ht="15.75" customHeight="1" x14ac:dyDescent="0.3"/>
    <row r="506" spans="1:16" ht="15.75" customHeight="1" x14ac:dyDescent="0.3"/>
    <row r="507" spans="1:16" ht="15.75" customHeight="1" x14ac:dyDescent="0.3"/>
    <row r="508" spans="1:16" ht="15.75" customHeight="1" x14ac:dyDescent="0.3"/>
    <row r="509" spans="1:16" ht="15.75" customHeight="1" x14ac:dyDescent="0.3"/>
    <row r="510" spans="1:16" ht="15.75" customHeight="1" x14ac:dyDescent="0.3"/>
    <row r="511" spans="1:16" ht="15.75" customHeight="1" x14ac:dyDescent="0.3"/>
    <row r="512" spans="1:16"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date" allowBlank="1" showInputMessage="1" showErrorMessage="1" sqref="L1:L1048576" xr:uid="{F3D30A19-8014-4B61-A29F-B3F918F9EDBD}">
      <formula1>2023</formula1>
      <formula2>2025</formula2>
    </dataValidation>
  </dataValidations>
  <pageMargins left="0.75" right="0.75" top="1" bottom="1"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 1</vt:lpstr>
      <vt:lpstr> Dashboard 1</vt:lpstr>
      <vt:lpstr>Dashboard 2</vt:lpstr>
      <vt:lpstr>Analysis 2</vt:lpstr>
      <vt:lpstr>Analysis 3</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snigdhareddy anumandla</cp:lastModifiedBy>
  <dcterms:created xsi:type="dcterms:W3CDTF">2025-07-11T03:45:20Z</dcterms:created>
  <dcterms:modified xsi:type="dcterms:W3CDTF">2026-09-06T11:10:00Z</dcterms:modified>
</cp:coreProperties>
</file>